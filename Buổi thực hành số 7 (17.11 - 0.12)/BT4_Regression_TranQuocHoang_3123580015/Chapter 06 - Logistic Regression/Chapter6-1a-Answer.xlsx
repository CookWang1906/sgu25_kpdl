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2" sheetId="2" r:id="rId1"/>
  </sheets>
  <definedNames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0</definedName>
    <definedName name="solver_mip" localSheetId="0" hidden="1">0</definedName>
    <definedName name="solver_mni" localSheetId="0" hidden="1">30</definedName>
    <definedName name="solver_mrt" localSheetId="0" hidden="1">0.075</definedName>
    <definedName name="solver_msl" localSheetId="0" hidden="1">0</definedName>
    <definedName name="solver_neg" localSheetId="0" hidden="1">0</definedName>
    <definedName name="solver_nod" localSheetId="0" hidden="1">0</definedName>
    <definedName name="solver_num" localSheetId="0" hidden="1">0</definedName>
    <definedName name="solver_nwt" localSheetId="0" hidden="1">1</definedName>
    <definedName name="solver_opt" localSheetId="0" hidden="1">Sheet2!$M$1</definedName>
    <definedName name="solver_pre" localSheetId="0" hidden="1">0.000001</definedName>
    <definedName name="solver_rbv" localSheetId="0" hidden="1">1</definedName>
    <definedName name="solver_rlx" localSheetId="0" hidden="1">0</definedName>
    <definedName name="solver_rsd" localSheetId="0" hidden="1">0</definedName>
    <definedName name="solver_scl" localSheetId="0" hidden="1">1</definedName>
    <definedName name="solver_sho" localSheetId="0" hidden="1">0</definedName>
    <definedName name="solver_ssz" localSheetId="0" hidden="1">100</definedName>
    <definedName name="solver_tim" localSheetId="0" hidden="1">0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solver_lin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Chapter6" description="Connection to the 'Chapter6' query in the workbook." type="5" background="1" refreshedVersion="2" saveData="1">
    <dbPr connection="Provider=Microsoft.Mashup.OleDb.1;Data Source=$Workbook$;Location=Chapter6;Extended Properties=&quot;&quot;" command="SELECT * FROM [Chapter6]" commandType="2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<sst xmlns="http://schemas.openxmlformats.org/spreadsheetml/2006/main" count="21" uniqueCount="21">
  <si>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To-Maximize</t>
  </si>
  <si>
    <t>m1</t>
  </si>
  <si>
    <t>m2</t>
  </si>
  <si>
    <t>m3</t>
  </si>
  <si>
    <t>m4</t>
  </si>
  <si>
    <t>m5</t>
  </si>
  <si>
    <t>b</t>
  </si>
  <si>
    <t>total Diff =</t>
  </si>
  <si>
    <t>PatientID</t>
  </si>
  <si>
    <t>Gene1</t>
  </si>
  <si>
    <t>Gene2</t>
  </si>
  <si>
    <t>Gene3</t>
  </si>
  <si>
    <t>Gene4</t>
  </si>
  <si>
    <t>Gene5</t>
  </si>
  <si>
    <t>5-year survival</t>
  </si>
  <si>
    <t>m1x1+m2x2+...+b</t>
  </si>
  <si>
    <t>P(1)</t>
  </si>
  <si>
    <t>Outcome</t>
  </si>
  <si>
    <t>Difference</t>
  </si>
  <si>
    <t>Likelihood</t>
  </si>
  <si>
    <t>Ln(likelihood)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</si>
</sst>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abSelected="1" workbookViewId="0">
      <selection activeCell="K94" sqref="K94"/>
    </sheetView>
  </sheetViews>
  <sheetFormatPr defaultColWidth="9" defaultRowHeight="15"/>
  <cols>
    <col min="2" max="2" width="14"/>
    <col min="3" max="3" width="12.8571428571429"/>
    <col min="4" max="6" width="14"/>
    <col min="7" max="7" width="14" customWidth="1"/>
    <col min="8" max="8" width="14"/>
    <col min="13" max="13" width="14"/>
  </cols>
  <sheetData>
    <row r="1" spans="2:1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J1" s="2"/>
      <c r="K1" s="2"/>
      <c r="L1" s="2" t="s">
        <v>0</v>
      </c>
      <c r="M1" s="3">
        <f>SUM(M6:M92)</f>
        <v>-28.7210893370198</v>
      </c>
    </row>
    <row r="2" spans="2:1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s="2" t="s">
        <v>7</v>
      </c>
      <c r="K2" s="2">
        <v>12</v>
      </c>
      <c r="L2" s="2"/>
      <c r="M2" s="2"/>
    </row>
    <row r="3" spans="2:7">
      <c r="B3">
        <f>INDEX(LINEST($G$6:$G$92,$B$6:$F$92),1,B1)</f>
        <v>-0.000316463975230488</v>
      </c>
      <c r="C3">
        <f>INDEX(LINEST($G$6:$G$92,$B$6:$F$92),1,C1)</f>
        <v>0.00301000641306018</v>
      </c>
      <c r="D3">
        <f>INDEX(LINEST($G$6:$G$92,$B$6:$F$92),1,D1)</f>
        <v>-0.00513304331038813</v>
      </c>
      <c r="E3">
        <f>INDEX(LINEST($G$6:$G$92,$B$6:$F$92),1,E1)</f>
        <v>-0.000510118083544647</v>
      </c>
      <c r="F3">
        <f>INDEX(LINEST($G$6:$G$92,$B$6:$F$92),1,F1)</f>
        <v>-0.000741551855139767</v>
      </c>
      <c r="G3">
        <f>INDEX(LINEST($G$6:$G$92,$B$6:$F$92),1,G1)</f>
        <v>0.535574025174708</v>
      </c>
    </row>
    <row r="4" spans="2:7">
      <c r="B4">
        <v>-0.0203197011686302</v>
      </c>
      <c r="C4">
        <v>-0.00793924162190258</v>
      </c>
      <c r="D4">
        <v>-0.097137358474938</v>
      </c>
      <c r="E4">
        <v>-0.0107309794088858</v>
      </c>
      <c r="F4">
        <v>-0.00379966064941144</v>
      </c>
      <c r="G4">
        <v>4.22299878186586</v>
      </c>
    </row>
    <row r="5" spans="1:13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</row>
    <row r="6" spans="1:13">
      <c r="A6" s="2">
        <v>1</v>
      </c>
      <c r="B6" s="2">
        <v>92.0826</v>
      </c>
      <c r="C6" s="2">
        <v>443.3735</v>
      </c>
      <c r="D6" s="2">
        <v>350.94664</v>
      </c>
      <c r="E6" s="2">
        <v>11.1876</v>
      </c>
      <c r="F6" s="2">
        <v>77.926</v>
      </c>
      <c r="G6" s="2">
        <v>0</v>
      </c>
      <c r="H6" cm="1">
        <f t="array" ref="H6">$G$4+SUMPRODUCT($B$4:$F$4,B6:F6)</f>
        <v>-35.6743173144691</v>
      </c>
      <c r="I6" s="2">
        <v>3.21248304837048e-16</v>
      </c>
      <c r="J6" s="2">
        <v>0</v>
      </c>
      <c r="K6" s="2">
        <v>0</v>
      </c>
      <c r="L6" s="2">
        <v>1</v>
      </c>
      <c r="M6" s="2">
        <v>-3.33066907387547e-16</v>
      </c>
    </row>
    <row r="7" spans="1:13">
      <c r="A7" s="2">
        <v>2</v>
      </c>
      <c r="B7" s="2">
        <v>97.1228</v>
      </c>
      <c r="C7" s="2">
        <v>29.215618</v>
      </c>
      <c r="D7" s="2">
        <v>2.579007</v>
      </c>
      <c r="E7" s="2">
        <v>301.8684</v>
      </c>
      <c r="F7" s="2">
        <v>171.9968</v>
      </c>
      <c r="G7" s="2">
        <v>0</v>
      </c>
      <c r="H7" cm="1">
        <f t="array" ref="H7">$G$4+SUMPRODUCT($B$4:$F$4,B7:F7)</f>
        <v>-2.12584832607634</v>
      </c>
      <c r="I7" s="2">
        <v>0.106609768901538</v>
      </c>
      <c r="J7" s="2">
        <v>0</v>
      </c>
      <c r="K7" s="2">
        <v>0</v>
      </c>
      <c r="L7" s="2">
        <v>0.893390231098462</v>
      </c>
      <c r="M7" s="2">
        <v>-0.112731804645434</v>
      </c>
    </row>
    <row r="8" spans="1:13">
      <c r="A8" s="2">
        <v>3</v>
      </c>
      <c r="B8" s="2">
        <v>7.73995</v>
      </c>
      <c r="C8" s="2">
        <v>42.368421</v>
      </c>
      <c r="D8" s="2">
        <v>39.907121</v>
      </c>
      <c r="E8" s="2">
        <v>9.2879</v>
      </c>
      <c r="F8" s="2">
        <v>104.2632</v>
      </c>
      <c r="G8" s="2">
        <v>1</v>
      </c>
      <c r="H8" cm="1">
        <f t="array" ref="H8">$G$4+SUMPRODUCT($B$4:$F$4,B8:F8)</f>
        <v>-0.642953180804996</v>
      </c>
      <c r="I8" s="2">
        <v>0.344579274272481</v>
      </c>
      <c r="J8" s="2">
        <v>0</v>
      </c>
      <c r="K8" s="2">
        <v>1</v>
      </c>
      <c r="L8" s="2">
        <v>0.344579274272481</v>
      </c>
      <c r="M8" s="2">
        <v>-1.06543110100209</v>
      </c>
    </row>
    <row r="9" spans="1:13">
      <c r="A9" s="2">
        <v>4</v>
      </c>
      <c r="B9" s="2">
        <v>60.2125</v>
      </c>
      <c r="C9" s="2">
        <v>25.631641</v>
      </c>
      <c r="D9" s="2">
        <v>2.420307</v>
      </c>
      <c r="E9" s="2">
        <v>14.1677</v>
      </c>
      <c r="F9" s="2">
        <v>94.6316</v>
      </c>
      <c r="G9" s="2">
        <v>1</v>
      </c>
      <c r="H9" cm="1">
        <f t="array" ref="H9">$G$4+SUMPRODUCT($B$4:$F$4,B9:F9)</f>
        <v>2.04929949182434</v>
      </c>
      <c r="I9" s="2">
        <v>0.885876817127978</v>
      </c>
      <c r="J9" s="2">
        <v>1</v>
      </c>
      <c r="K9" s="2">
        <v>0</v>
      </c>
      <c r="L9" s="2">
        <v>0.885876817127978</v>
      </c>
      <c r="M9" s="2">
        <v>-0.121177370629914</v>
      </c>
    </row>
    <row r="10" spans="1:13">
      <c r="A10" s="2">
        <v>5</v>
      </c>
      <c r="B10" s="2">
        <v>385.4766</v>
      </c>
      <c r="C10" s="2">
        <v>20.329639</v>
      </c>
      <c r="D10" s="2">
        <v>5.831751</v>
      </c>
      <c r="E10" s="2">
        <v>35.4298</v>
      </c>
      <c r="F10" s="2">
        <v>71.0588</v>
      </c>
      <c r="G10" s="2">
        <v>0</v>
      </c>
      <c r="H10" cm="1">
        <f t="array" ref="H10">$G$4+SUMPRODUCT($B$4:$F$4,B10:F10)</f>
        <v>-4.98784912157969</v>
      </c>
      <c r="I10" s="2">
        <v>0.00677411676959656</v>
      </c>
      <c r="J10" s="2">
        <v>0</v>
      </c>
      <c r="K10" s="2">
        <v>0</v>
      </c>
      <c r="L10" s="2">
        <v>0.993225883230403</v>
      </c>
      <c r="M10" s="2">
        <v>-0.00679716524628796</v>
      </c>
    </row>
    <row r="11" spans="1:13">
      <c r="A11" s="2">
        <v>6</v>
      </c>
      <c r="B11" s="2">
        <v>476.644</v>
      </c>
      <c r="C11" s="2">
        <v>12.487453</v>
      </c>
      <c r="D11" s="2">
        <v>4.406125</v>
      </c>
      <c r="E11" s="2">
        <v>50.444</v>
      </c>
      <c r="F11" s="2">
        <v>104.7838</v>
      </c>
      <c r="G11" s="2">
        <v>0</v>
      </c>
      <c r="H11" cm="1">
        <f t="array" ref="H11">$G$4+SUMPRODUCT($B$4:$F$4,B11:F11)</f>
        <v>-6.92886151903187</v>
      </c>
      <c r="I11" s="2">
        <v>0.000978157209488619</v>
      </c>
      <c r="J11" s="2">
        <v>0</v>
      </c>
      <c r="K11" s="2">
        <v>0</v>
      </c>
      <c r="L11" s="2">
        <v>0.999021842790511</v>
      </c>
      <c r="M11" s="2">
        <v>-0.000978635917445028</v>
      </c>
    </row>
    <row r="12" spans="1:13">
      <c r="A12" s="2">
        <v>7</v>
      </c>
      <c r="B12" s="2">
        <v>25.89</v>
      </c>
      <c r="C12" s="2">
        <v>18.495146</v>
      </c>
      <c r="D12" s="2">
        <v>28.721683</v>
      </c>
      <c r="E12" s="2">
        <v>6.4724</v>
      </c>
      <c r="F12" s="2">
        <v>78.3981</v>
      </c>
      <c r="G12" s="2">
        <v>0</v>
      </c>
      <c r="H12" cm="1">
        <f t="array" ref="H12">$G$4+SUMPRODUCT($B$4:$F$4,B12:F12)</f>
        <v>0.392794501424438</v>
      </c>
      <c r="I12" s="2">
        <v>0.596955237231584</v>
      </c>
      <c r="J12" s="2">
        <v>1</v>
      </c>
      <c r="K12" s="2">
        <v>1</v>
      </c>
      <c r="L12" s="2">
        <v>0.403044762768416</v>
      </c>
      <c r="M12" s="2">
        <v>-0.908707649336662</v>
      </c>
    </row>
    <row r="13" spans="1:13">
      <c r="A13" s="2">
        <v>8</v>
      </c>
      <c r="B13" s="2">
        <v>142.85715</v>
      </c>
      <c r="C13" s="2">
        <v>15.411994</v>
      </c>
      <c r="D13" s="2">
        <v>1.019015</v>
      </c>
      <c r="E13" s="2">
        <v>24.3784</v>
      </c>
      <c r="F13" s="2">
        <v>146.7328</v>
      </c>
      <c r="G13" s="2">
        <v>1</v>
      </c>
      <c r="H13" cm="1">
        <f t="array" ref="H13">$G$4+SUMPRODUCT($B$4:$F$4,B13:F13)</f>
        <v>0.279701259916497</v>
      </c>
      <c r="I13" s="2">
        <v>0.569472982306582</v>
      </c>
      <c r="J13" s="2">
        <v>1</v>
      </c>
      <c r="K13" s="2">
        <v>0</v>
      </c>
      <c r="L13" s="2">
        <v>0.569472982306582</v>
      </c>
      <c r="M13" s="2">
        <v>-0.563043938297381</v>
      </c>
    </row>
    <row r="14" spans="1:13">
      <c r="A14" s="2">
        <v>9</v>
      </c>
      <c r="B14" s="2">
        <v>188.6454</v>
      </c>
      <c r="C14" s="2">
        <v>26.958862</v>
      </c>
      <c r="D14" s="2">
        <v>12.50801</v>
      </c>
      <c r="E14" s="2">
        <v>82.0198</v>
      </c>
      <c r="F14" s="2">
        <v>137.7771</v>
      </c>
      <c r="G14" s="2">
        <v>0</v>
      </c>
      <c r="H14" cm="1">
        <f t="array" ref="H14">$G$4+SUMPRODUCT($B$4:$F$4,B14:F14)</f>
        <v>-2.44290635359943</v>
      </c>
      <c r="I14" s="2">
        <v>0.0799588438474703</v>
      </c>
      <c r="J14" s="2">
        <v>0</v>
      </c>
      <c r="K14" s="2">
        <v>0</v>
      </c>
      <c r="L14" s="2">
        <v>0.92004115615253</v>
      </c>
      <c r="M14" s="2">
        <v>-0.0833368749912272</v>
      </c>
    </row>
    <row r="15" spans="1:13">
      <c r="A15" s="2">
        <v>10</v>
      </c>
      <c r="B15" s="2">
        <v>1383.3642</v>
      </c>
      <c r="C15" s="2">
        <v>14.225508</v>
      </c>
      <c r="D15" s="2">
        <v>1.49353</v>
      </c>
      <c r="E15" s="2">
        <v>312.0148</v>
      </c>
      <c r="F15" s="2">
        <v>787.2921</v>
      </c>
      <c r="G15" s="2">
        <v>0</v>
      </c>
      <c r="H15" cm="1">
        <f t="array" ref="H15">$G$4+SUMPRODUCT($B$4:$F$4,B15:F15)</f>
        <v>-30.4842328797548</v>
      </c>
      <c r="I15" s="2">
        <v>5.76588366027801e-14</v>
      </c>
      <c r="J15" s="2">
        <v>0</v>
      </c>
      <c r="K15" s="2">
        <v>0</v>
      </c>
      <c r="L15" s="2">
        <v>0.999999999999942</v>
      </c>
      <c r="M15" s="2">
        <v>-5.76205749780473e-14</v>
      </c>
    </row>
    <row r="16" spans="1:13">
      <c r="A16" s="2">
        <v>11</v>
      </c>
      <c r="B16" s="2">
        <v>365.397</v>
      </c>
      <c r="C16" s="2">
        <v>3.279844</v>
      </c>
      <c r="D16" s="2">
        <v>0.35542</v>
      </c>
      <c r="E16" s="2">
        <v>74.8254</v>
      </c>
      <c r="F16" s="2">
        <v>132.8732</v>
      </c>
      <c r="G16" s="2">
        <v>0</v>
      </c>
      <c r="H16" cm="1">
        <f t="array" ref="H16">$G$4+SUMPRODUCT($B$4:$F$4,B16:F16)</f>
        <v>-4.57014599605842</v>
      </c>
      <c r="I16" s="2">
        <v>0.0102502910049591</v>
      </c>
      <c r="J16" s="2">
        <v>0</v>
      </c>
      <c r="K16" s="2">
        <v>0</v>
      </c>
      <c r="L16" s="2">
        <v>0.989749708995041</v>
      </c>
      <c r="M16" s="2">
        <v>-0.0103031870145906</v>
      </c>
    </row>
    <row r="17" spans="1:13">
      <c r="A17" s="2">
        <v>12</v>
      </c>
      <c r="B17" s="2">
        <v>26.89425</v>
      </c>
      <c r="C17" s="2">
        <v>40.6827</v>
      </c>
      <c r="D17" s="2">
        <v>18.960434</v>
      </c>
      <c r="E17" s="2">
        <v>20.6879</v>
      </c>
      <c r="F17" s="2">
        <v>204.8443</v>
      </c>
      <c r="G17" s="2">
        <v>1</v>
      </c>
      <c r="H17" cm="1">
        <f t="array" ref="H17">$G$4+SUMPRODUCT($B$4:$F$4,B17:F17)</f>
        <v>0.511419144402335</v>
      </c>
      <c r="I17" s="2">
        <v>0.625139096075511</v>
      </c>
      <c r="J17" s="2">
        <v>1</v>
      </c>
      <c r="K17" s="2">
        <v>0</v>
      </c>
      <c r="L17" s="2">
        <v>0.625139096075511</v>
      </c>
      <c r="M17" s="2">
        <v>-0.469781100286323</v>
      </c>
    </row>
    <row r="18" spans="1:13">
      <c r="A18" s="2">
        <v>13</v>
      </c>
      <c r="B18" s="2">
        <v>10.107</v>
      </c>
      <c r="C18" s="2">
        <v>12.223543</v>
      </c>
      <c r="D18" s="2">
        <v>22.972652</v>
      </c>
      <c r="E18" s="2">
        <v>9.5125</v>
      </c>
      <c r="F18" s="2">
        <v>42.9952</v>
      </c>
      <c r="G18" s="2">
        <v>1</v>
      </c>
      <c r="H18" cm="1">
        <f t="array" ref="H18">$G$4+SUMPRODUCT($B$4:$F$4,B18:F18)</f>
        <v>1.4236335571772</v>
      </c>
      <c r="I18" s="2">
        <v>0.805907411634321</v>
      </c>
      <c r="J18" s="2">
        <v>1</v>
      </c>
      <c r="K18" s="2">
        <v>0</v>
      </c>
      <c r="L18" s="2">
        <v>0.805907411634321</v>
      </c>
      <c r="M18" s="2">
        <v>-0.215786416976849</v>
      </c>
    </row>
    <row r="19" spans="1:13">
      <c r="A19" s="2">
        <v>14</v>
      </c>
      <c r="B19" s="2">
        <v>196.5098</v>
      </c>
      <c r="C19" s="2">
        <v>18.721548</v>
      </c>
      <c r="D19" s="2">
        <v>5.223824</v>
      </c>
      <c r="E19" s="2">
        <v>80.4248</v>
      </c>
      <c r="F19" s="2">
        <v>292.0713</v>
      </c>
      <c r="G19" s="2">
        <v>0</v>
      </c>
      <c r="H19" cm="1">
        <f t="array" ref="H19">$G$4+SUMPRODUCT($B$4:$F$4,B19:F19)</f>
        <v>-2.39889368664365</v>
      </c>
      <c r="I19" s="2">
        <v>0.0832570973299914</v>
      </c>
      <c r="J19" s="2">
        <v>0</v>
      </c>
      <c r="K19" s="2">
        <v>0</v>
      </c>
      <c r="L19" s="2">
        <v>0.916742902670009</v>
      </c>
      <c r="M19" s="2">
        <v>-0.0869282138986751</v>
      </c>
    </row>
    <row r="20" spans="1:13">
      <c r="A20" s="2">
        <v>15</v>
      </c>
      <c r="B20" s="2">
        <v>1955.5984</v>
      </c>
      <c r="C20" s="2">
        <v>10.482625</v>
      </c>
      <c r="D20" s="2">
        <v>2.30695</v>
      </c>
      <c r="E20" s="2">
        <v>44.4016</v>
      </c>
      <c r="F20" s="2">
        <v>83.8803</v>
      </c>
      <c r="G20" s="2">
        <v>0</v>
      </c>
      <c r="H20" cm="1">
        <f t="array" ref="H20">$G$4+SUMPRODUCT($B$4:$F$4,B20:F20)</f>
        <v>-36.6166807643184</v>
      </c>
      <c r="I20" s="2">
        <v>1.25192294290876e-16</v>
      </c>
      <c r="J20" s="2">
        <v>0</v>
      </c>
      <c r="K20" s="2">
        <v>0</v>
      </c>
      <c r="L20" s="2">
        <v>1</v>
      </c>
      <c r="M20" s="2">
        <v>-1.11022302462516e-16</v>
      </c>
    </row>
    <row r="21" spans="1:13">
      <c r="A21" s="2">
        <v>16</v>
      </c>
      <c r="B21" s="2">
        <v>740.099</v>
      </c>
      <c r="C21" s="2">
        <v>10.532178</v>
      </c>
      <c r="D21" s="2">
        <v>6.410891</v>
      </c>
      <c r="E21" s="2">
        <v>168.3168</v>
      </c>
      <c r="F21" s="2">
        <v>143.8119</v>
      </c>
      <c r="G21" s="2">
        <v>0</v>
      </c>
      <c r="H21" cm="1">
        <f t="array" ref="H21">$G$4+SUMPRODUCT($B$4:$F$4,B21:F21)</f>
        <v>-13.8745867888104</v>
      </c>
      <c r="I21" s="2">
        <v>9.42634020001699e-7</v>
      </c>
      <c r="J21" s="2">
        <v>0</v>
      </c>
      <c r="K21" s="2">
        <v>0</v>
      </c>
      <c r="L21" s="2">
        <v>0.99999905736598</v>
      </c>
      <c r="M21" s="2">
        <v>-9.42634464231154e-7</v>
      </c>
    </row>
    <row r="22" spans="1:13">
      <c r="A22" s="2">
        <v>17</v>
      </c>
      <c r="B22" s="2">
        <v>327.3114</v>
      </c>
      <c r="C22" s="2">
        <v>13.294368</v>
      </c>
      <c r="D22" s="2">
        <v>12.592986</v>
      </c>
      <c r="E22" s="2">
        <v>95.643</v>
      </c>
      <c r="F22" s="2">
        <v>327.8693</v>
      </c>
      <c r="G22" s="2">
        <v>0</v>
      </c>
      <c r="H22" cm="1">
        <f t="array" ref="H22">$G$4+SUMPRODUCT($B$4:$F$4,B22:F22)</f>
        <v>-6.02880279129862</v>
      </c>
      <c r="I22" s="2">
        <v>0.00240258924426933</v>
      </c>
      <c r="J22" s="2">
        <v>0</v>
      </c>
      <c r="K22" s="2">
        <v>0</v>
      </c>
      <c r="L22" s="2">
        <v>0.997597410755731</v>
      </c>
      <c r="M22" s="2">
        <v>-0.00240548009308406</v>
      </c>
    </row>
    <row r="23" spans="1:13">
      <c r="A23" s="2">
        <v>18</v>
      </c>
      <c r="B23" s="2">
        <v>490.3126</v>
      </c>
      <c r="C23" s="2">
        <v>14.897055</v>
      </c>
      <c r="D23" s="2">
        <v>8.785743</v>
      </c>
      <c r="E23" s="2">
        <v>44.5738</v>
      </c>
      <c r="F23" s="2">
        <v>264.2913</v>
      </c>
      <c r="G23" s="2">
        <v>0</v>
      </c>
      <c r="H23" cm="1">
        <f t="array" ref="H23">$G$4+SUMPRODUCT($B$4:$F$4,B23:F23)</f>
        <v>-8.19423969827527</v>
      </c>
      <c r="I23" s="2">
        <v>0.00027616393523028</v>
      </c>
      <c r="J23" s="2">
        <v>0</v>
      </c>
      <c r="K23" s="2">
        <v>0</v>
      </c>
      <c r="L23" s="2">
        <v>0.99972383606477</v>
      </c>
      <c r="M23" s="2">
        <v>-0.000276202075512036</v>
      </c>
    </row>
    <row r="24" spans="1:13">
      <c r="A24" s="2">
        <v>19</v>
      </c>
      <c r="B24" s="2">
        <v>67.77555</v>
      </c>
      <c r="C24" s="2">
        <v>23.059925</v>
      </c>
      <c r="D24" s="2">
        <v>1.006487</v>
      </c>
      <c r="E24" s="2">
        <v>61.6879</v>
      </c>
      <c r="F24" s="2">
        <v>101.2721</v>
      </c>
      <c r="G24" s="2">
        <v>1</v>
      </c>
      <c r="H24" cm="1">
        <f t="array" ref="H24">$G$4+SUMPRODUCT($B$4:$F$4,B24:F24)</f>
        <v>1.51820285651833</v>
      </c>
      <c r="I24" s="2">
        <v>0.820273689618551</v>
      </c>
      <c r="J24" s="2">
        <v>1</v>
      </c>
      <c r="K24" s="2">
        <v>0</v>
      </c>
      <c r="L24" s="2">
        <v>0.820273689618551</v>
      </c>
      <c r="M24" s="2">
        <v>-0.198117226584428</v>
      </c>
    </row>
    <row r="25" spans="1:13">
      <c r="A25" s="2">
        <v>20</v>
      </c>
      <c r="B25" s="2">
        <v>331.7972</v>
      </c>
      <c r="C25" s="2">
        <v>13.179724</v>
      </c>
      <c r="D25" s="2">
        <v>6.958525</v>
      </c>
      <c r="E25" s="2">
        <v>36.8664</v>
      </c>
      <c r="F25" s="2">
        <v>195.5069</v>
      </c>
      <c r="G25" s="2">
        <v>0</v>
      </c>
      <c r="H25" cm="1">
        <f t="array" ref="H25">$G$4+SUMPRODUCT($B$4:$F$4,B25:F25)</f>
        <v>-4.43806337534832</v>
      </c>
      <c r="I25" s="2">
        <v>0.0116807524250918</v>
      </c>
      <c r="J25" s="2">
        <v>0</v>
      </c>
      <c r="K25" s="2">
        <v>0</v>
      </c>
      <c r="L25" s="2">
        <v>0.988319247574908</v>
      </c>
      <c r="M25" s="2">
        <v>-0.0117495083521155</v>
      </c>
    </row>
    <row r="26" spans="1:13">
      <c r="A26" s="2">
        <v>21</v>
      </c>
      <c r="B26" s="2">
        <v>134.7414</v>
      </c>
      <c r="C26" s="2">
        <v>14.555197</v>
      </c>
      <c r="D26" s="2">
        <v>10.089932</v>
      </c>
      <c r="E26" s="2">
        <v>219.3464</v>
      </c>
      <c r="F26" s="2">
        <v>148.774</v>
      </c>
      <c r="G26" s="2">
        <v>0</v>
      </c>
      <c r="H26" cm="1">
        <f t="array" ref="H26">$G$4+SUMPRODUCT($B$4:$F$4,B26:F26)</f>
        <v>-2.5296651839549</v>
      </c>
      <c r="I26" s="2">
        <v>0.0738045304983984</v>
      </c>
      <c r="J26" s="2">
        <v>0</v>
      </c>
      <c r="K26" s="2">
        <v>0</v>
      </c>
      <c r="L26" s="2">
        <v>0.926195469501602</v>
      </c>
      <c r="M26" s="2">
        <v>-0.076669976437838</v>
      </c>
    </row>
    <row r="27" spans="1:13">
      <c r="A27" s="2">
        <v>22</v>
      </c>
      <c r="B27" s="2">
        <v>320.1754</v>
      </c>
      <c r="C27" s="2">
        <v>1.677632</v>
      </c>
      <c r="D27" s="2">
        <v>3.936404</v>
      </c>
      <c r="E27" s="2">
        <v>92.1052</v>
      </c>
      <c r="F27" s="2">
        <v>133.5526</v>
      </c>
      <c r="G27" s="2">
        <v>0</v>
      </c>
      <c r="H27" cm="1">
        <f t="array" ref="H27">$G$4+SUMPRODUCT($B$4:$F$4,B27:F27)</f>
        <v>-4.17439424342948</v>
      </c>
      <c r="I27" s="2">
        <v>0.0151514110931664</v>
      </c>
      <c r="J27" s="2">
        <v>0</v>
      </c>
      <c r="K27" s="2">
        <v>0</v>
      </c>
      <c r="L27" s="2">
        <v>0.984848588906834</v>
      </c>
      <c r="M27" s="2">
        <v>-0.0152673664715476</v>
      </c>
    </row>
    <row r="28" spans="1:13">
      <c r="A28" s="2">
        <v>23</v>
      </c>
      <c r="B28" s="2">
        <v>86.6038</v>
      </c>
      <c r="C28" s="2">
        <v>19.735692</v>
      </c>
      <c r="D28" s="2">
        <v>12.357707</v>
      </c>
      <c r="E28" s="2">
        <v>16.6546</v>
      </c>
      <c r="F28" s="2">
        <v>94.9493</v>
      </c>
      <c r="G28" s="2">
        <v>0</v>
      </c>
      <c r="H28" cm="1">
        <f t="array" ref="H28">$G$4+SUMPRODUCT($B$4:$F$4,B28:F28)</f>
        <v>0.56665871508496</v>
      </c>
      <c r="I28" s="2">
        <v>0.637991834179574</v>
      </c>
      <c r="J28" s="2">
        <v>1</v>
      </c>
      <c r="K28" s="2">
        <v>1</v>
      </c>
      <c r="L28" s="2">
        <v>0.362008165820426</v>
      </c>
      <c r="M28" s="2">
        <v>-1.01608850989579</v>
      </c>
    </row>
    <row r="29" spans="1:13">
      <c r="A29" s="2">
        <v>24</v>
      </c>
      <c r="B29" s="2">
        <v>223.0364</v>
      </c>
      <c r="C29" s="2">
        <v>6.865337</v>
      </c>
      <c r="D29" s="2">
        <v>11.744257</v>
      </c>
      <c r="E29" s="2">
        <v>20.9096</v>
      </c>
      <c r="F29" s="2">
        <v>485.8837</v>
      </c>
      <c r="G29" s="2">
        <v>0</v>
      </c>
      <c r="H29" cm="1">
        <f t="array" ref="H29">$G$4+SUMPRODUCT($B$4:$F$4,B29:F29)</f>
        <v>-3.57491954947926</v>
      </c>
      <c r="I29" s="2">
        <v>0.0272540835368674</v>
      </c>
      <c r="J29" s="2">
        <v>0</v>
      </c>
      <c r="K29" s="2">
        <v>0</v>
      </c>
      <c r="L29" s="2">
        <v>0.972745916463133</v>
      </c>
      <c r="M29" s="2">
        <v>-0.0276323650567582</v>
      </c>
    </row>
    <row r="30" spans="1:13">
      <c r="A30" s="2">
        <v>25</v>
      </c>
      <c r="B30" s="2">
        <v>380.805</v>
      </c>
      <c r="C30" s="2">
        <v>14.504644</v>
      </c>
      <c r="D30" s="2">
        <v>8.80805</v>
      </c>
      <c r="E30" s="2">
        <v>49.5356</v>
      </c>
      <c r="F30" s="2">
        <v>209.2105</v>
      </c>
      <c r="G30" s="2">
        <v>0</v>
      </c>
      <c r="H30" cm="1">
        <f t="array" ref="H30">$G$4+SUMPRODUCT($B$4:$F$4,B30:F30)</f>
        <v>-5.8120860132257</v>
      </c>
      <c r="I30" s="2">
        <v>0.00298226341226885</v>
      </c>
      <c r="J30" s="2">
        <v>0</v>
      </c>
      <c r="K30" s="2">
        <v>0</v>
      </c>
      <c r="L30" s="2">
        <v>0.997017736587731</v>
      </c>
      <c r="M30" s="2">
        <v>-0.00298671922093414</v>
      </c>
    </row>
    <row r="31" spans="1:13">
      <c r="A31" s="2">
        <v>26</v>
      </c>
      <c r="B31" s="2">
        <v>192.7282</v>
      </c>
      <c r="C31" s="2">
        <v>10.003011</v>
      </c>
      <c r="D31" s="2">
        <v>15.344934</v>
      </c>
      <c r="E31" s="2">
        <v>23.0436</v>
      </c>
      <c r="F31" s="2">
        <v>144.4077</v>
      </c>
      <c r="G31" s="2">
        <v>0</v>
      </c>
      <c r="H31" cm="1">
        <f t="array" ref="H31">$G$4+SUMPRODUCT($B$4:$F$4,B31:F31)</f>
        <v>-2.05914397717855</v>
      </c>
      <c r="I31" s="2">
        <v>0.113131688893717</v>
      </c>
      <c r="J31" s="2">
        <v>0</v>
      </c>
      <c r="K31" s="2">
        <v>0</v>
      </c>
      <c r="L31" s="2">
        <v>0.886868311106283</v>
      </c>
      <c r="M31" s="2">
        <v>-0.120058773189258</v>
      </c>
    </row>
    <row r="32" spans="1:13">
      <c r="A32" s="2">
        <v>27</v>
      </c>
      <c r="B32" s="2">
        <v>585.824</v>
      </c>
      <c r="C32" s="2">
        <v>23.82579</v>
      </c>
      <c r="D32" s="2">
        <v>5.473954</v>
      </c>
      <c r="E32" s="2">
        <v>751.4944</v>
      </c>
      <c r="F32" s="2">
        <v>188.9624</v>
      </c>
      <c r="G32" s="2">
        <v>0</v>
      </c>
      <c r="H32" cm="1">
        <f t="array" ref="H32">$G$4+SUMPRODUCT($B$4:$F$4,B32:F32)</f>
        <v>-17.1839178989531</v>
      </c>
      <c r="I32" s="2">
        <v>3.4444450761759e-8</v>
      </c>
      <c r="J32" s="2">
        <v>0</v>
      </c>
      <c r="K32" s="2">
        <v>0</v>
      </c>
      <c r="L32" s="2">
        <v>0.999999965555549</v>
      </c>
      <c r="M32" s="2">
        <v>-3.4444451329292e-8</v>
      </c>
    </row>
    <row r="33" spans="1:13">
      <c r="A33" s="2">
        <v>28</v>
      </c>
      <c r="B33" s="2">
        <v>22.63375</v>
      </c>
      <c r="C33" s="2">
        <v>16.985597</v>
      </c>
      <c r="D33" s="2">
        <v>21.934156</v>
      </c>
      <c r="E33" s="2">
        <v>34.9794</v>
      </c>
      <c r="F33" s="2">
        <v>154.3498</v>
      </c>
      <c r="G33" s="2">
        <v>1</v>
      </c>
      <c r="H33" cm="1">
        <f t="array" ref="H33">$G$4+SUMPRODUCT($B$4:$F$4,B33:F33)</f>
        <v>0.535768930208201</v>
      </c>
      <c r="I33" s="2">
        <v>0.630827615304656</v>
      </c>
      <c r="J33" s="2">
        <v>1</v>
      </c>
      <c r="K33" s="2">
        <v>0</v>
      </c>
      <c r="L33" s="2">
        <v>0.630827615304656</v>
      </c>
      <c r="M33" s="2">
        <v>-0.460722646625975</v>
      </c>
    </row>
    <row r="34" spans="1:13">
      <c r="A34" s="2">
        <v>29</v>
      </c>
      <c r="B34" s="2">
        <v>281.9732</v>
      </c>
      <c r="C34" s="2">
        <v>7.576127</v>
      </c>
      <c r="D34" s="2">
        <v>4.445798</v>
      </c>
      <c r="E34" s="2">
        <v>9.7442</v>
      </c>
      <c r="F34" s="2">
        <v>62.3374</v>
      </c>
      <c r="G34" s="2">
        <v>1</v>
      </c>
      <c r="H34" cm="1">
        <f t="array" ref="H34">$G$4+SUMPRODUCT($B$4:$F$4,B34:F34)</f>
        <v>-2.34003993186359</v>
      </c>
      <c r="I34" s="2">
        <v>0.087860714588791</v>
      </c>
      <c r="J34" s="2">
        <v>0</v>
      </c>
      <c r="K34" s="2">
        <v>1</v>
      </c>
      <c r="L34" s="2">
        <v>0.087860714588791</v>
      </c>
      <c r="M34" s="2">
        <v>-2.43200250720112</v>
      </c>
    </row>
    <row r="35" spans="1:13">
      <c r="A35" s="2">
        <v>30</v>
      </c>
      <c r="B35" s="2">
        <v>320.488</v>
      </c>
      <c r="C35" s="2">
        <v>11.435774</v>
      </c>
      <c r="D35" s="2">
        <v>3.753606</v>
      </c>
      <c r="E35" s="2">
        <v>23.8576</v>
      </c>
      <c r="F35" s="2">
        <v>63.9675</v>
      </c>
      <c r="G35" s="2">
        <v>0</v>
      </c>
      <c r="H35" cm="1">
        <f t="array" ref="H35">$G$4+SUMPRODUCT($B$4:$F$4,B35:F35)</f>
        <v>-3.24369855771789</v>
      </c>
      <c r="I35" s="2">
        <v>0.0375539821379134</v>
      </c>
      <c r="J35" s="2">
        <v>0</v>
      </c>
      <c r="K35" s="2">
        <v>0</v>
      </c>
      <c r="L35" s="2">
        <v>0.962446017862087</v>
      </c>
      <c r="M35" s="2">
        <v>-0.038277299731131</v>
      </c>
    </row>
    <row r="36" spans="1:13">
      <c r="A36" s="2">
        <v>31</v>
      </c>
      <c r="B36" s="2">
        <v>775.3844</v>
      </c>
      <c r="C36" s="2">
        <v>4.270233</v>
      </c>
      <c r="D36" s="2">
        <v>3.202675</v>
      </c>
      <c r="E36" s="2">
        <v>0</v>
      </c>
      <c r="F36" s="2">
        <v>137.3745</v>
      </c>
      <c r="G36" s="2">
        <v>0</v>
      </c>
      <c r="H36" cm="1">
        <f t="array" ref="H36">$G$4+SUMPRODUCT($B$4:$F$4,B36:F36)</f>
        <v>-12.3995587999569</v>
      </c>
      <c r="I36" s="2">
        <v>4.12038925228962e-6</v>
      </c>
      <c r="J36" s="2">
        <v>0</v>
      </c>
      <c r="K36" s="2">
        <v>0</v>
      </c>
      <c r="L36" s="2">
        <v>0.999995879610748</v>
      </c>
      <c r="M36" s="2">
        <v>-4.12039774106501e-6</v>
      </c>
    </row>
    <row r="37" spans="1:13">
      <c r="A37" s="2">
        <v>32</v>
      </c>
      <c r="B37" s="2">
        <v>220.5718</v>
      </c>
      <c r="C37" s="2">
        <v>14.028964</v>
      </c>
      <c r="D37" s="2">
        <v>19.257334</v>
      </c>
      <c r="E37" s="2">
        <v>151.5038</v>
      </c>
      <c r="F37" s="2">
        <v>111.1493</v>
      </c>
      <c r="G37" s="2">
        <v>0</v>
      </c>
      <c r="H37" cm="1">
        <f t="array" ref="H37">$G$4+SUMPRODUCT($B$4:$F$4,B37:F37)</f>
        <v>-4.28905395087916</v>
      </c>
      <c r="I37" s="2">
        <v>0.013532262778349</v>
      </c>
      <c r="J37" s="2">
        <v>0</v>
      </c>
      <c r="K37" s="2">
        <v>0</v>
      </c>
      <c r="L37" s="2">
        <v>0.986467737221651</v>
      </c>
      <c r="M37" s="2">
        <v>-0.0136246583404767</v>
      </c>
    </row>
    <row r="38" spans="1:13">
      <c r="A38" s="2">
        <v>33</v>
      </c>
      <c r="B38" s="2">
        <v>51.4593</v>
      </c>
      <c r="C38" s="2">
        <v>8.617512</v>
      </c>
      <c r="D38" s="2">
        <v>9.585253</v>
      </c>
      <c r="E38" s="2">
        <v>21.5054</v>
      </c>
      <c r="F38" s="2">
        <v>32.7942</v>
      </c>
      <c r="G38" s="2">
        <v>1</v>
      </c>
      <c r="H38" cm="1">
        <f t="array" ref="H38">$G$4+SUMPRODUCT($B$4:$F$4,B38:F38)</f>
        <v>1.82247768098857</v>
      </c>
      <c r="I38" s="2">
        <v>0.860863163589236</v>
      </c>
      <c r="J38" s="2">
        <v>1</v>
      </c>
      <c r="K38" s="2">
        <v>0</v>
      </c>
      <c r="L38" s="2">
        <v>0.860863163589236</v>
      </c>
      <c r="M38" s="2">
        <v>-0.149819714491035</v>
      </c>
    </row>
    <row r="39" spans="1:13">
      <c r="A39" s="2">
        <v>34</v>
      </c>
      <c r="B39" s="2">
        <v>122.3764</v>
      </c>
      <c r="C39" s="2">
        <v>9.053718</v>
      </c>
      <c r="D39" s="2">
        <v>6.670224</v>
      </c>
      <c r="E39" s="2">
        <v>72.572</v>
      </c>
      <c r="F39" s="2">
        <v>318.4899</v>
      </c>
      <c r="G39" s="2">
        <v>0</v>
      </c>
      <c r="H39" cm="1">
        <f t="array" ref="H39">$G$4+SUMPRODUCT($B$4:$F$4,B39:F39)</f>
        <v>-0.972382868728236</v>
      </c>
      <c r="I39" s="2">
        <v>0.274405800796703</v>
      </c>
      <c r="J39" s="2">
        <v>0</v>
      </c>
      <c r="K39" s="2">
        <v>0</v>
      </c>
      <c r="L39" s="2">
        <v>0.725594199203297</v>
      </c>
      <c r="M39" s="2">
        <v>-0.320764374695943</v>
      </c>
    </row>
    <row r="40" spans="1:13">
      <c r="A40" s="2">
        <v>35</v>
      </c>
      <c r="B40" s="2">
        <v>69.5498</v>
      </c>
      <c r="C40" s="2">
        <v>36.724414</v>
      </c>
      <c r="D40" s="2">
        <v>39.827811</v>
      </c>
      <c r="E40" s="2">
        <v>47.4204</v>
      </c>
      <c r="F40" s="2">
        <v>104.0339</v>
      </c>
      <c r="G40" s="2">
        <v>0</v>
      </c>
      <c r="H40" cm="1">
        <f t="array" ref="H40">$G$4+SUMPRODUCT($B$4:$F$4,B40:F40)</f>
        <v>-2.25472557301592</v>
      </c>
      <c r="I40" s="2">
        <v>0.0949426254023224</v>
      </c>
      <c r="J40" s="2">
        <v>0</v>
      </c>
      <c r="K40" s="2">
        <v>0</v>
      </c>
      <c r="L40" s="2">
        <v>0.905057374597678</v>
      </c>
      <c r="M40" s="2">
        <v>-0.0997569399462377</v>
      </c>
    </row>
    <row r="41" spans="1:13">
      <c r="A41" s="2">
        <v>36</v>
      </c>
      <c r="B41" s="2">
        <v>161.372</v>
      </c>
      <c r="C41" s="2">
        <v>6.293505</v>
      </c>
      <c r="D41" s="2">
        <v>1.828882</v>
      </c>
      <c r="E41" s="2">
        <v>59.1698</v>
      </c>
      <c r="F41" s="2">
        <v>193.7681</v>
      </c>
      <c r="G41" s="2">
        <v>0</v>
      </c>
      <c r="H41" cm="1">
        <f t="array" ref="H41">$G$4+SUMPRODUCT($B$4:$F$4,B41:F41)</f>
        <v>-0.654853388513449</v>
      </c>
      <c r="I41" s="2">
        <v>0.341896672261112</v>
      </c>
      <c r="J41" s="2">
        <v>0</v>
      </c>
      <c r="K41" s="2">
        <v>0</v>
      </c>
      <c r="L41" s="2">
        <v>0.658103327738888</v>
      </c>
      <c r="M41" s="2">
        <v>-0.418393326947394</v>
      </c>
    </row>
    <row r="42" spans="1:13">
      <c r="A42" s="2">
        <v>37</v>
      </c>
      <c r="B42" s="2">
        <v>551.655</v>
      </c>
      <c r="C42" s="2">
        <v>27.582748</v>
      </c>
      <c r="D42" s="2">
        <v>5.426279</v>
      </c>
      <c r="E42" s="2">
        <v>306.9208</v>
      </c>
      <c r="F42" s="2">
        <v>181.4694</v>
      </c>
      <c r="G42" s="2">
        <v>0</v>
      </c>
      <c r="H42" cm="1">
        <f t="array" ref="H42">$G$4+SUMPRODUCT($B$4:$F$4,B42:F42)</f>
        <v>-11.715629398902</v>
      </c>
      <c r="I42" s="2">
        <v>8.16513282500339e-6</v>
      </c>
      <c r="J42" s="2">
        <v>0</v>
      </c>
      <c r="K42" s="2">
        <v>0</v>
      </c>
      <c r="L42" s="2">
        <v>0.999991834867175</v>
      </c>
      <c r="M42" s="2">
        <v>-8.16516615985614e-6</v>
      </c>
    </row>
    <row r="43" spans="1:13">
      <c r="A43" s="2">
        <v>38</v>
      </c>
      <c r="B43" s="2">
        <v>182.3834</v>
      </c>
      <c r="C43" s="2">
        <v>19.927461</v>
      </c>
      <c r="D43" s="2">
        <v>2.787565</v>
      </c>
      <c r="E43" s="2">
        <v>10.3626</v>
      </c>
      <c r="F43" s="2">
        <v>118.2642</v>
      </c>
      <c r="G43" s="2">
        <v>0</v>
      </c>
      <c r="H43" cm="1">
        <f t="array" ref="H43">$G$4+SUMPRODUCT($B$4:$F$4,B43:F43)</f>
        <v>-0.472527706916754</v>
      </c>
      <c r="I43" s="2">
        <v>0.384018144039276</v>
      </c>
      <c r="J43" s="2">
        <v>0</v>
      </c>
      <c r="K43" s="2">
        <v>0</v>
      </c>
      <c r="L43" s="2">
        <v>0.615981855960724</v>
      </c>
      <c r="M43" s="2">
        <v>-0.484537770491627</v>
      </c>
    </row>
    <row r="44" spans="1:13">
      <c r="A44" s="2">
        <v>39</v>
      </c>
      <c r="B44" s="2">
        <v>328.1896</v>
      </c>
      <c r="C44" s="2">
        <v>3.979425</v>
      </c>
      <c r="D44" s="2">
        <v>1.937022</v>
      </c>
      <c r="E44" s="2">
        <v>341.237</v>
      </c>
      <c r="F44" s="2">
        <v>519.7936</v>
      </c>
      <c r="G44" s="2">
        <v>0</v>
      </c>
      <c r="H44" cm="1">
        <f t="array" ref="H44">$G$4+SUMPRODUCT($B$4:$F$4,B44:F44)</f>
        <v>-8.30231314205136</v>
      </c>
      <c r="I44" s="2">
        <v>0.000247881176420195</v>
      </c>
      <c r="J44" s="2">
        <v>0</v>
      </c>
      <c r="K44" s="2">
        <v>0</v>
      </c>
      <c r="L44" s="2">
        <v>0.99975211882358</v>
      </c>
      <c r="M44" s="2">
        <v>-0.000247911904036943</v>
      </c>
    </row>
    <row r="45" spans="1:13">
      <c r="A45" s="2">
        <v>40</v>
      </c>
      <c r="B45" s="2">
        <v>241.712</v>
      </c>
      <c r="C45" s="2">
        <v>8.64383</v>
      </c>
      <c r="D45" s="2">
        <v>19.643475</v>
      </c>
      <c r="E45" s="2">
        <v>970.3508</v>
      </c>
      <c r="F45" s="2">
        <v>78.4218</v>
      </c>
      <c r="G45" s="2">
        <v>0</v>
      </c>
      <c r="H45" cm="1">
        <f t="array" ref="H45">$G$4+SUMPRODUCT($B$4:$F$4,B45:F45)</f>
        <v>-13.3760482363951</v>
      </c>
      <c r="I45" s="2">
        <v>1.55187017742793e-6</v>
      </c>
      <c r="J45" s="2">
        <v>0</v>
      </c>
      <c r="K45" s="2">
        <v>0</v>
      </c>
      <c r="L45" s="2">
        <v>0.999998448129823</v>
      </c>
      <c r="M45" s="2">
        <v>-1.55187138162593e-6</v>
      </c>
    </row>
    <row r="46" spans="1:13">
      <c r="A46" s="2">
        <v>41</v>
      </c>
      <c r="B46" s="2">
        <v>175.3862</v>
      </c>
      <c r="C46" s="2">
        <v>21.978077</v>
      </c>
      <c r="D46" s="2">
        <v>13.692078</v>
      </c>
      <c r="E46" s="2">
        <v>58.7942</v>
      </c>
      <c r="F46" s="2">
        <v>78.3134</v>
      </c>
      <c r="G46" s="2">
        <v>0</v>
      </c>
      <c r="H46" cm="1">
        <f t="array" ref="H46">$G$4+SUMPRODUCT($B$4:$F$4,B46:F46)</f>
        <v>-1.77378163773986</v>
      </c>
      <c r="I46" s="2">
        <v>0.145072675474934</v>
      </c>
      <c r="J46" s="2">
        <v>0</v>
      </c>
      <c r="K46" s="2">
        <v>0</v>
      </c>
      <c r="L46" s="2">
        <v>0.854927324525066</v>
      </c>
      <c r="M46" s="2">
        <v>-0.156738814213607</v>
      </c>
    </row>
    <row r="47" spans="1:13">
      <c r="A47" s="2">
        <v>42</v>
      </c>
      <c r="B47" s="2">
        <v>448.8584</v>
      </c>
      <c r="C47" s="2">
        <v>16.29569</v>
      </c>
      <c r="D47" s="2">
        <v>12.220743</v>
      </c>
      <c r="E47" s="2">
        <v>54.8786</v>
      </c>
      <c r="F47" s="2">
        <v>181.0356</v>
      </c>
      <c r="G47" s="2">
        <v>0</v>
      </c>
      <c r="H47" cm="1">
        <f t="array" ref="H47">$G$4+SUMPRODUCT($B$4:$F$4,B47:F47)</f>
        <v>-7.49091085914139</v>
      </c>
      <c r="I47" s="2">
        <v>0.000557823006925104</v>
      </c>
      <c r="J47" s="2">
        <v>0</v>
      </c>
      <c r="K47" s="2">
        <v>0</v>
      </c>
      <c r="L47" s="2">
        <v>0.999442176993075</v>
      </c>
      <c r="M47" s="2">
        <v>-0.000557978648061441</v>
      </c>
    </row>
    <row r="48" spans="1:13">
      <c r="A48" s="2">
        <v>43</v>
      </c>
      <c r="B48" s="2">
        <v>58.7691</v>
      </c>
      <c r="C48" s="2">
        <v>32.248959</v>
      </c>
      <c r="D48" s="2">
        <v>7.019898</v>
      </c>
      <c r="E48" s="2">
        <v>39.7964</v>
      </c>
      <c r="F48" s="2">
        <v>134.5854</v>
      </c>
      <c r="G48" s="2">
        <v>1</v>
      </c>
      <c r="H48" cm="1">
        <f t="array" ref="H48">$G$4+SUMPRODUCT($B$4:$F$4,B48:F48)</f>
        <v>1.15246840856411</v>
      </c>
      <c r="I48" s="2">
        <v>0.759961492995966</v>
      </c>
      <c r="J48" s="2">
        <v>1</v>
      </c>
      <c r="K48" s="2">
        <v>0</v>
      </c>
      <c r="L48" s="2">
        <v>0.759961492995966</v>
      </c>
      <c r="M48" s="2">
        <v>-0.274487514095953</v>
      </c>
    </row>
    <row r="49" spans="1:13">
      <c r="A49" s="2">
        <v>44</v>
      </c>
      <c r="B49" s="2">
        <v>102.05185</v>
      </c>
      <c r="C49" s="2">
        <v>21.846652</v>
      </c>
      <c r="D49" s="2">
        <v>4.740821</v>
      </c>
      <c r="E49" s="2">
        <v>15.6587</v>
      </c>
      <c r="F49" s="2">
        <v>177.7257</v>
      </c>
      <c r="G49" s="2">
        <v>1</v>
      </c>
      <c r="H49" cm="1">
        <f t="array" ref="H49">$G$4+SUMPRODUCT($B$4:$F$4,B49:F49)</f>
        <v>0.672048472410836</v>
      </c>
      <c r="I49" s="2">
        <v>0.661961694586006</v>
      </c>
      <c r="J49" s="2">
        <v>1</v>
      </c>
      <c r="K49" s="2">
        <v>0</v>
      </c>
      <c r="L49" s="2">
        <v>0.661961694586006</v>
      </c>
      <c r="M49" s="2">
        <v>-0.412547587882399</v>
      </c>
    </row>
    <row r="50" spans="1:13">
      <c r="A50" s="2">
        <v>45</v>
      </c>
      <c r="B50" s="2">
        <v>919.1186</v>
      </c>
      <c r="C50" s="2">
        <v>12.946122</v>
      </c>
      <c r="D50" s="2">
        <v>5.410776</v>
      </c>
      <c r="E50" s="2">
        <v>9.1708</v>
      </c>
      <c r="F50" s="2">
        <v>98.8759</v>
      </c>
      <c r="G50" s="2">
        <v>0</v>
      </c>
      <c r="H50" cm="1">
        <f t="array" ref="H50">$G$4+SUMPRODUCT($B$4:$F$4,B50:F50)</f>
        <v>-15.5556939195962</v>
      </c>
      <c r="I50" s="2">
        <v>1.75488189064236e-7</v>
      </c>
      <c r="J50" s="2">
        <v>0</v>
      </c>
      <c r="K50" s="2">
        <v>0</v>
      </c>
      <c r="L50" s="2">
        <v>0.999999824511811</v>
      </c>
      <c r="M50" s="2">
        <v>-1.75488204489465e-7</v>
      </c>
    </row>
    <row r="51" spans="1:13">
      <c r="A51" s="2">
        <v>46</v>
      </c>
      <c r="B51" s="2">
        <v>157.173</v>
      </c>
      <c r="C51" s="2">
        <v>8.236287</v>
      </c>
      <c r="D51" s="2">
        <v>1.421941</v>
      </c>
      <c r="E51" s="2">
        <v>48.1013</v>
      </c>
      <c r="F51" s="2">
        <v>101.1097</v>
      </c>
      <c r="G51" s="2">
        <v>1</v>
      </c>
      <c r="H51" cm="1">
        <f t="array" ref="H51">$G$4+SUMPRODUCT($B$4:$F$4,B51:F51)</f>
        <v>-0.0745796833232264</v>
      </c>
      <c r="I51" s="2">
        <v>0.481363716486531</v>
      </c>
      <c r="J51" s="2">
        <v>0</v>
      </c>
      <c r="K51" s="2">
        <v>1</v>
      </c>
      <c r="L51" s="2">
        <v>0.481363716486531</v>
      </c>
      <c r="M51" s="2">
        <v>-0.731132127295186</v>
      </c>
    </row>
    <row r="52" spans="1:13">
      <c r="A52" s="2">
        <v>47</v>
      </c>
      <c r="B52" s="2">
        <v>113.3558</v>
      </c>
      <c r="C52" s="2">
        <v>30.756011</v>
      </c>
      <c r="D52" s="2">
        <v>13.094433</v>
      </c>
      <c r="E52" s="2">
        <v>51.193</v>
      </c>
      <c r="F52" s="2">
        <v>140.1842</v>
      </c>
      <c r="G52" s="2">
        <v>0</v>
      </c>
      <c r="H52" cm="1">
        <f t="array" ref="H52">$G$4+SUMPRODUCT($B$4:$F$4,B52:F52)</f>
        <v>-0.678498652155407</v>
      </c>
      <c r="I52" s="2">
        <v>0.336596470209929</v>
      </c>
      <c r="J52" s="2">
        <v>0</v>
      </c>
      <c r="K52" s="2">
        <v>0</v>
      </c>
      <c r="L52" s="2">
        <v>0.663403529790071</v>
      </c>
      <c r="M52" s="2">
        <v>-0.410371831726526</v>
      </c>
    </row>
    <row r="53" spans="1:13">
      <c r="A53" s="2">
        <v>48</v>
      </c>
      <c r="B53" s="2">
        <v>417.3228</v>
      </c>
      <c r="C53" s="2">
        <v>18.725394</v>
      </c>
      <c r="D53" s="2">
        <v>19.699803</v>
      </c>
      <c r="E53" s="2">
        <v>200.7874</v>
      </c>
      <c r="F53" s="2">
        <v>179.0354</v>
      </c>
      <c r="G53" s="2">
        <v>0</v>
      </c>
      <c r="H53" cm="1">
        <f t="array" ref="H53">$G$4+SUMPRODUCT($B$4:$F$4,B53:F53)</f>
        <v>-9.15404727751349</v>
      </c>
      <c r="I53" s="2">
        <v>0.000105779580015929</v>
      </c>
      <c r="J53" s="2">
        <v>0</v>
      </c>
      <c r="K53" s="2">
        <v>0</v>
      </c>
      <c r="L53" s="2">
        <v>0.999894220419984</v>
      </c>
      <c r="M53" s="2">
        <v>-0.000105785175070236</v>
      </c>
    </row>
    <row r="54" spans="1:13">
      <c r="A54" s="2">
        <v>49</v>
      </c>
      <c r="B54" s="2">
        <v>277.7836</v>
      </c>
      <c r="C54" s="2">
        <v>10.678865</v>
      </c>
      <c r="D54" s="2">
        <v>27.549641</v>
      </c>
      <c r="E54" s="2">
        <v>123.9214</v>
      </c>
      <c r="F54" s="2">
        <v>259.12</v>
      </c>
      <c r="G54" s="2">
        <v>0</v>
      </c>
      <c r="H54" cm="1">
        <f t="array" ref="H54">$G$4+SUMPRODUCT($B$4:$F$4,B54:F54)</f>
        <v>-6.49672846203175</v>
      </c>
      <c r="I54" s="2">
        <v>0.00150609406499873</v>
      </c>
      <c r="J54" s="2">
        <v>0</v>
      </c>
      <c r="K54" s="2">
        <v>0</v>
      </c>
      <c r="L54" s="2">
        <v>0.998493905935001</v>
      </c>
      <c r="M54" s="2">
        <v>-0.0015072293647203</v>
      </c>
    </row>
    <row r="55" spans="1:13">
      <c r="A55" s="2">
        <v>50</v>
      </c>
      <c r="B55" s="2">
        <v>95.724</v>
      </c>
      <c r="C55" s="2">
        <v>39.450245</v>
      </c>
      <c r="D55" s="2">
        <v>8.034832</v>
      </c>
      <c r="E55" s="2">
        <v>138.7998</v>
      </c>
      <c r="F55" s="2">
        <v>163.7998</v>
      </c>
      <c r="G55" s="2">
        <v>0</v>
      </c>
      <c r="H55" cm="1">
        <f t="array" ref="H55">$G$4+SUMPRODUCT($B$4:$F$4,B55:F55)</f>
        <v>-0.927613126367176</v>
      </c>
      <c r="I55" s="2">
        <v>0.283409210223091</v>
      </c>
      <c r="J55" s="2">
        <v>0</v>
      </c>
      <c r="K55" s="2">
        <v>0</v>
      </c>
      <c r="L55" s="2">
        <v>0.716590789776909</v>
      </c>
      <c r="M55" s="2">
        <v>-0.333250326863558</v>
      </c>
    </row>
    <row r="56" spans="1:13">
      <c r="A56" s="2">
        <v>51</v>
      </c>
      <c r="B56" s="2">
        <v>133.0612</v>
      </c>
      <c r="C56" s="2">
        <v>31.008163</v>
      </c>
      <c r="D56" s="2">
        <v>16.583673</v>
      </c>
      <c r="E56" s="2">
        <v>5.7142</v>
      </c>
      <c r="F56" s="2">
        <v>44.5918</v>
      </c>
      <c r="G56" s="2">
        <v>0</v>
      </c>
      <c r="H56" cm="1">
        <f t="array" ref="H56">$G$4+SUMPRODUCT($B$4:$F$4,B56:F56)</f>
        <v>-0.568593196898638</v>
      </c>
      <c r="I56" s="2">
        <v>0.361561500652222</v>
      </c>
      <c r="J56" s="2">
        <v>0</v>
      </c>
      <c r="K56" s="2">
        <v>0</v>
      </c>
      <c r="L56" s="2">
        <v>0.638438499347778</v>
      </c>
      <c r="M56" s="2">
        <v>-0.448729928668978</v>
      </c>
    </row>
    <row r="57" spans="1:13">
      <c r="A57" s="2">
        <v>52</v>
      </c>
      <c r="B57" s="2">
        <v>39.9686</v>
      </c>
      <c r="C57" s="2">
        <v>20.952194</v>
      </c>
      <c r="D57" s="2">
        <v>14.874608</v>
      </c>
      <c r="E57" s="2">
        <v>126.1756</v>
      </c>
      <c r="F57" s="2">
        <v>123.7461</v>
      </c>
      <c r="G57" s="2">
        <v>0</v>
      </c>
      <c r="H57" cm="1">
        <f t="array" ref="H57">$G$4+SUMPRODUCT($B$4:$F$4,B57:F57)</f>
        <v>-0.0245568385997483</v>
      </c>
      <c r="I57" s="2">
        <v>0.49386109884635</v>
      </c>
      <c r="J57" s="2">
        <v>0</v>
      </c>
      <c r="K57" s="2">
        <v>0</v>
      </c>
      <c r="L57" s="2">
        <v>0.50613890115365</v>
      </c>
      <c r="M57" s="2">
        <v>-0.680944139156361</v>
      </c>
    </row>
    <row r="58" spans="1:13">
      <c r="A58" s="2">
        <v>53</v>
      </c>
      <c r="B58" s="2">
        <v>102.1739</v>
      </c>
      <c r="C58" s="2">
        <v>27.33913</v>
      </c>
      <c r="D58" s="2">
        <v>3.93913</v>
      </c>
      <c r="E58" s="2">
        <v>38.2609</v>
      </c>
      <c r="F58" s="2">
        <v>165.087</v>
      </c>
      <c r="G58" s="2">
        <v>1</v>
      </c>
      <c r="H58" cm="1">
        <f t="array" ref="H58">$G$4+SUMPRODUCT($B$4:$F$4,B58:F58)</f>
        <v>0.50931551724555</v>
      </c>
      <c r="I58" s="2">
        <v>0.624646002029713</v>
      </c>
      <c r="J58" s="2">
        <v>1</v>
      </c>
      <c r="K58" s="2">
        <v>0</v>
      </c>
      <c r="L58" s="2">
        <v>0.624646002029713</v>
      </c>
      <c r="M58" s="2">
        <v>-0.470570186461428</v>
      </c>
    </row>
    <row r="59" spans="1:13">
      <c r="A59" s="2">
        <v>54</v>
      </c>
      <c r="B59" s="2">
        <v>16.96605</v>
      </c>
      <c r="C59" s="2">
        <v>50.933134</v>
      </c>
      <c r="D59" s="2">
        <v>29.780439</v>
      </c>
      <c r="E59" s="2">
        <v>12.475</v>
      </c>
      <c r="F59" s="2">
        <v>41.9142</v>
      </c>
      <c r="G59" s="2">
        <v>1</v>
      </c>
      <c r="H59" cm="1">
        <f t="array" ref="H59">$G$4+SUMPRODUCT($B$4:$F$4,B59:F59)</f>
        <v>0.287961375265652</v>
      </c>
      <c r="I59" s="2">
        <v>0.571496970752658</v>
      </c>
      <c r="J59" s="2">
        <v>1</v>
      </c>
      <c r="K59" s="2">
        <v>0</v>
      </c>
      <c r="L59" s="2">
        <v>0.571496970752658</v>
      </c>
      <c r="M59" s="2">
        <v>-0.559496096281604</v>
      </c>
    </row>
    <row r="60" spans="1:13">
      <c r="A60" s="2">
        <v>55</v>
      </c>
      <c r="B60" s="2">
        <v>293.518</v>
      </c>
      <c r="C60" s="2">
        <v>43.684224</v>
      </c>
      <c r="D60" s="2">
        <v>7.010084</v>
      </c>
      <c r="E60" s="2">
        <v>48.9196</v>
      </c>
      <c r="F60" s="2">
        <v>206.6273</v>
      </c>
      <c r="G60" s="2">
        <v>0</v>
      </c>
      <c r="H60" cm="1">
        <f t="array" ref="H60">$G$4+SUMPRODUCT($B$4:$F$4,B60:F60)</f>
        <v>-4.07902875879193</v>
      </c>
      <c r="I60" s="2">
        <v>0.0166422432816543</v>
      </c>
      <c r="J60" s="2">
        <v>0</v>
      </c>
      <c r="K60" s="2">
        <v>0</v>
      </c>
      <c r="L60" s="2">
        <v>0.983357756718346</v>
      </c>
      <c r="M60" s="2">
        <v>-0.0167822812841322</v>
      </c>
    </row>
    <row r="61" spans="1:13">
      <c r="A61" s="2">
        <v>56</v>
      </c>
      <c r="B61" s="2">
        <v>133.3334</v>
      </c>
      <c r="C61" s="2">
        <v>23.614379</v>
      </c>
      <c r="D61" s="2">
        <v>10.098039</v>
      </c>
      <c r="E61" s="2">
        <v>24.8366</v>
      </c>
      <c r="F61" s="2">
        <v>92.9739</v>
      </c>
      <c r="G61" s="2">
        <v>0</v>
      </c>
      <c r="H61" cm="1">
        <f t="array" ref="H61">$G$4+SUMPRODUCT($B$4:$F$4,B61:F61)</f>
        <v>-0.274463469239703</v>
      </c>
      <c r="I61" s="2">
        <v>0.431811649712001</v>
      </c>
      <c r="J61" s="2">
        <v>0</v>
      </c>
      <c r="K61" s="2">
        <v>0</v>
      </c>
      <c r="L61" s="2">
        <v>0.568188350287999</v>
      </c>
      <c r="M61" s="2">
        <v>-0.565302312609266</v>
      </c>
    </row>
    <row r="62" spans="1:13">
      <c r="A62" s="2">
        <v>57</v>
      </c>
      <c r="B62" s="2">
        <v>131.6343</v>
      </c>
      <c r="C62" s="2">
        <v>12.737845</v>
      </c>
      <c r="D62" s="2">
        <v>5.591983</v>
      </c>
      <c r="E62" s="2">
        <v>3.4641</v>
      </c>
      <c r="F62" s="2">
        <v>38.5893</v>
      </c>
      <c r="G62" s="2">
        <v>1</v>
      </c>
      <c r="H62" cm="1">
        <f t="array" ref="H62">$G$4+SUMPRODUCT($B$4:$F$4,B62:F62)</f>
        <v>0.720110425401293</v>
      </c>
      <c r="I62" s="2">
        <v>0.672631333030476</v>
      </c>
      <c r="J62" s="2">
        <v>1</v>
      </c>
      <c r="K62" s="2">
        <v>0</v>
      </c>
      <c r="L62" s="2">
        <v>0.672631333030476</v>
      </c>
      <c r="M62" s="2">
        <v>-0.396557895821262</v>
      </c>
    </row>
    <row r="63" spans="1:13">
      <c r="A63" s="2">
        <v>58</v>
      </c>
      <c r="B63" s="2">
        <v>30.38915</v>
      </c>
      <c r="C63" s="2">
        <v>42.006177</v>
      </c>
      <c r="D63" s="2">
        <v>11.147622</v>
      </c>
      <c r="E63" s="2">
        <v>37.554</v>
      </c>
      <c r="F63" s="2">
        <v>141.8042</v>
      </c>
      <c r="G63" s="2">
        <v>1</v>
      </c>
      <c r="H63" cm="1">
        <f t="array" ref="H63">$G$4+SUMPRODUCT($B$4:$F$4,B63:F63)</f>
        <v>1.24735355254211</v>
      </c>
      <c r="I63" s="2">
        <v>0.776841412281694</v>
      </c>
      <c r="J63" s="2">
        <v>1</v>
      </c>
      <c r="K63" s="2">
        <v>0</v>
      </c>
      <c r="L63" s="2">
        <v>0.776841412281694</v>
      </c>
      <c r="M63" s="2">
        <v>-0.252519052043822</v>
      </c>
    </row>
    <row r="64" spans="1:13">
      <c r="A64" s="2">
        <v>59</v>
      </c>
      <c r="B64" s="2">
        <v>88.8698</v>
      </c>
      <c r="C64" s="2">
        <v>19.162552</v>
      </c>
      <c r="D64" s="2">
        <v>18.752383</v>
      </c>
      <c r="E64" s="2">
        <v>8.5452</v>
      </c>
      <c r="F64" s="2">
        <v>113.0153</v>
      </c>
      <c r="G64" s="2">
        <v>0</v>
      </c>
      <c r="H64" cm="1">
        <f t="array" ref="H64">$G$4+SUMPRODUCT($B$4:$F$4,B64:F64)</f>
        <v>-0.0776202306369091</v>
      </c>
      <c r="I64" s="2">
        <v>0.480604679269067</v>
      </c>
      <c r="J64" s="2">
        <v>0</v>
      </c>
      <c r="K64" s="2">
        <v>0</v>
      </c>
      <c r="L64" s="2">
        <v>0.519395320730933</v>
      </c>
      <c r="M64" s="2">
        <v>-0.655089988783418</v>
      </c>
    </row>
    <row r="65" spans="1:13">
      <c r="A65" s="2">
        <v>60</v>
      </c>
      <c r="B65" s="2">
        <v>59.7642</v>
      </c>
      <c r="C65" s="2">
        <v>9.039337</v>
      </c>
      <c r="D65" s="2">
        <v>19.432707</v>
      </c>
      <c r="E65" s="2">
        <v>42.9556</v>
      </c>
      <c r="F65" s="2">
        <v>50.213</v>
      </c>
      <c r="G65" s="2">
        <v>0</v>
      </c>
      <c r="H65" cm="1">
        <f t="array" ref="H65">$G$4+SUMPRODUCT($B$4:$F$4,B65:F65)</f>
        <v>0.397452771456146</v>
      </c>
      <c r="I65" s="2">
        <v>0.59807550753099</v>
      </c>
      <c r="J65" s="2">
        <v>1</v>
      </c>
      <c r="K65" s="2">
        <v>1</v>
      </c>
      <c r="L65" s="2">
        <v>0.40192449246901</v>
      </c>
      <c r="M65" s="2">
        <v>-0.911491037684399</v>
      </c>
    </row>
    <row r="66" spans="1:13">
      <c r="A66" s="2">
        <v>61</v>
      </c>
      <c r="B66" s="2">
        <v>34.29695</v>
      </c>
      <c r="C66" s="2">
        <v>31.876764</v>
      </c>
      <c r="D66" s="2">
        <v>12.722233</v>
      </c>
      <c r="E66" s="2">
        <v>112.9211</v>
      </c>
      <c r="F66" s="2">
        <v>79.8891</v>
      </c>
      <c r="G66" s="2">
        <v>1</v>
      </c>
      <c r="H66" cm="1">
        <f t="array" ref="H66">$G$4+SUMPRODUCT($B$4:$F$4,B66:F66)</f>
        <v>0.521908099311734</v>
      </c>
      <c r="I66" s="2">
        <v>0.627593835393245</v>
      </c>
      <c r="J66" s="2">
        <v>1</v>
      </c>
      <c r="K66" s="2">
        <v>0</v>
      </c>
      <c r="L66" s="2">
        <v>0.627593835393245</v>
      </c>
      <c r="M66" s="2">
        <v>-0.465862080680671</v>
      </c>
    </row>
    <row r="67" spans="1:13">
      <c r="A67" s="2">
        <v>62</v>
      </c>
      <c r="B67" s="2">
        <v>75.8255</v>
      </c>
      <c r="C67" s="2">
        <v>11.58989</v>
      </c>
      <c r="D67" s="2">
        <v>0.627803</v>
      </c>
      <c r="E67" s="2">
        <v>5.2996</v>
      </c>
      <c r="F67" s="2">
        <v>44.2507</v>
      </c>
      <c r="G67" s="2">
        <v>1</v>
      </c>
      <c r="H67" cm="1">
        <f t="array" ref="H67">$G$4+SUMPRODUCT($B$4:$F$4,B67:F67)</f>
        <v>2.30424167678574</v>
      </c>
      <c r="I67" s="2">
        <v>0.909227724092382</v>
      </c>
      <c r="J67" s="2">
        <v>1</v>
      </c>
      <c r="K67" s="2">
        <v>0</v>
      </c>
      <c r="L67" s="2">
        <v>0.909227724092382</v>
      </c>
      <c r="M67" s="2">
        <v>-0.0951596946261676</v>
      </c>
    </row>
    <row r="68" spans="1:13">
      <c r="A68" s="2">
        <v>63</v>
      </c>
      <c r="B68" s="2">
        <v>60.2852</v>
      </c>
      <c r="C68" s="2">
        <v>15.595087</v>
      </c>
      <c r="D68" s="2">
        <v>11.274884</v>
      </c>
      <c r="E68" s="2">
        <v>2.5413</v>
      </c>
      <c r="F68" s="2">
        <v>4.9297</v>
      </c>
      <c r="G68" s="2">
        <v>1</v>
      </c>
      <c r="H68" cm="1">
        <f t="array" ref="H68">$G$4+SUMPRODUCT($B$4:$F$4,B68:F68)</f>
        <v>1.73299409522062</v>
      </c>
      <c r="I68" s="2">
        <v>0.849794997321863</v>
      </c>
      <c r="J68" s="2">
        <v>1</v>
      </c>
      <c r="K68" s="2">
        <v>0</v>
      </c>
      <c r="L68" s="2">
        <v>0.849794997321863</v>
      </c>
      <c r="M68" s="2">
        <v>-0.162760138207595</v>
      </c>
    </row>
    <row r="69" spans="1:13">
      <c r="A69" s="2">
        <v>64</v>
      </c>
      <c r="B69" s="2">
        <v>52.3274</v>
      </c>
      <c r="C69" s="2">
        <v>17.14946</v>
      </c>
      <c r="D69" s="2">
        <v>7.472365</v>
      </c>
      <c r="E69" s="2">
        <v>26.5126</v>
      </c>
      <c r="F69" s="2">
        <v>175.0055</v>
      </c>
      <c r="G69" s="2">
        <v>0</v>
      </c>
      <c r="H69" cm="1">
        <f t="array" ref="H69">$G$4+SUMPRODUCT($B$4:$F$4,B69:F69)</f>
        <v>1.34825447019215</v>
      </c>
      <c r="I69" s="2">
        <v>0.793844108921048</v>
      </c>
      <c r="J69" s="2">
        <v>1</v>
      </c>
      <c r="K69" s="2">
        <v>1</v>
      </c>
      <c r="L69" s="2">
        <v>0.206155891078952</v>
      </c>
      <c r="M69" s="2">
        <v>-1.57912264357514</v>
      </c>
    </row>
    <row r="70" spans="1:13">
      <c r="A70" s="2">
        <v>65</v>
      </c>
      <c r="B70" s="2">
        <v>112.3224</v>
      </c>
      <c r="C70" s="2">
        <v>20.515362</v>
      </c>
      <c r="D70" s="2">
        <v>19.081599</v>
      </c>
      <c r="E70" s="2">
        <v>133.4654</v>
      </c>
      <c r="F70" s="2">
        <v>41.1876</v>
      </c>
      <c r="G70" s="2">
        <v>0</v>
      </c>
      <c r="H70" cm="1">
        <f t="array" ref="H70">$G$4+SUMPRODUCT($B$4:$F$4,B70:F70)</f>
        <v>-1.6644847210567</v>
      </c>
      <c r="I70" s="2">
        <v>0.159160894717126</v>
      </c>
      <c r="J70" s="2">
        <v>0</v>
      </c>
      <c r="K70" s="2">
        <v>0</v>
      </c>
      <c r="L70" s="2">
        <v>0.840839105282874</v>
      </c>
      <c r="M70" s="2">
        <v>-0.173354950887621</v>
      </c>
    </row>
    <row r="71" spans="1:13">
      <c r="A71" s="2">
        <v>66</v>
      </c>
      <c r="B71" s="2">
        <v>1112.9494</v>
      </c>
      <c r="C71" s="2">
        <v>10.174992</v>
      </c>
      <c r="D71" s="2">
        <v>10.034998</v>
      </c>
      <c r="E71" s="2">
        <v>5.727</v>
      </c>
      <c r="F71" s="2">
        <v>85.4518</v>
      </c>
      <c r="G71" s="2">
        <v>0</v>
      </c>
      <c r="H71" cm="1">
        <f t="array" ref="H71">$G$4+SUMPRODUCT($B$4:$F$4,B71:F71)</f>
        <v>-19.8334995209067</v>
      </c>
      <c r="I71" s="2">
        <v>2.43456066110598e-9</v>
      </c>
      <c r="J71" s="2">
        <v>0</v>
      </c>
      <c r="K71" s="2">
        <v>0</v>
      </c>
      <c r="L71" s="2">
        <v>0.999999997565439</v>
      </c>
      <c r="M71" s="2">
        <v>-2.4345606671409e-9</v>
      </c>
    </row>
    <row r="72" spans="1:13">
      <c r="A72" s="2">
        <v>67</v>
      </c>
      <c r="B72" s="2">
        <v>20.9319</v>
      </c>
      <c r="C72" s="2">
        <v>27.724731</v>
      </c>
      <c r="D72" s="2">
        <v>9.843728</v>
      </c>
      <c r="E72" s="2">
        <v>15.7706</v>
      </c>
      <c r="F72" s="2">
        <v>20.2186</v>
      </c>
      <c r="G72" s="2">
        <v>1</v>
      </c>
      <c r="H72" cm="1">
        <f t="array" ref="H72">$G$4+SUMPRODUCT($B$4:$F$4,B72:F72)</f>
        <v>2.37530395252521</v>
      </c>
      <c r="I72" s="2">
        <v>0.91492461690059</v>
      </c>
      <c r="J72" s="2">
        <v>1</v>
      </c>
      <c r="K72" s="2">
        <v>0</v>
      </c>
      <c r="L72" s="2">
        <v>0.91492461690059</v>
      </c>
      <c r="M72" s="2">
        <v>-0.088913603001515</v>
      </c>
    </row>
    <row r="73" spans="1:13">
      <c r="A73" s="2">
        <v>68</v>
      </c>
      <c r="B73" s="2">
        <v>2795.6318</v>
      </c>
      <c r="C73" s="2">
        <v>10.682173</v>
      </c>
      <c r="D73" s="2">
        <v>4.24337</v>
      </c>
      <c r="E73" s="2">
        <v>10.2114</v>
      </c>
      <c r="F73" s="2">
        <v>36.3459</v>
      </c>
      <c r="G73" s="2">
        <v>0</v>
      </c>
      <c r="H73" cm="1">
        <f t="array" ref="H73">$G$4+SUMPRODUCT($B$4:$F$4,B73:F73)</f>
        <v>-53.3280824861129</v>
      </c>
      <c r="I73" s="2">
        <v>6.9168450341375e-24</v>
      </c>
      <c r="J73" s="2">
        <v>0</v>
      </c>
      <c r="K73" s="2">
        <v>0</v>
      </c>
      <c r="L73" s="2">
        <v>1</v>
      </c>
      <c r="M73" s="2">
        <v>0</v>
      </c>
    </row>
    <row r="74" spans="1:13">
      <c r="A74" s="2">
        <v>69</v>
      </c>
      <c r="B74" s="2">
        <v>124.7378</v>
      </c>
      <c r="C74" s="2">
        <v>23.328166</v>
      </c>
      <c r="D74" s="2">
        <v>13.236072</v>
      </c>
      <c r="E74" s="2">
        <v>40.8498</v>
      </c>
      <c r="F74" s="2">
        <v>80.8038</v>
      </c>
      <c r="G74" s="2">
        <v>0</v>
      </c>
      <c r="H74" cm="1">
        <f t="array" ref="H74">$G$4+SUMPRODUCT($B$4:$F$4,B74:F74)</f>
        <v>-0.527946437540449</v>
      </c>
      <c r="I74" s="2">
        <v>0.370995976095299</v>
      </c>
      <c r="J74" s="2">
        <v>0</v>
      </c>
      <c r="K74" s="2">
        <v>0</v>
      </c>
      <c r="L74" s="2">
        <v>0.629004023904701</v>
      </c>
      <c r="M74" s="2">
        <v>-0.463617624997388</v>
      </c>
    </row>
    <row r="75" spans="1:13">
      <c r="A75" s="2">
        <v>70</v>
      </c>
      <c r="B75" s="2">
        <v>461.4308</v>
      </c>
      <c r="C75" s="2">
        <v>20.47879</v>
      </c>
      <c r="D75" s="2">
        <v>9.066219</v>
      </c>
      <c r="E75" s="2">
        <v>15.6796</v>
      </c>
      <c r="F75" s="2">
        <v>88.8387</v>
      </c>
      <c r="G75" s="2">
        <v>0</v>
      </c>
      <c r="H75" cm="1">
        <f t="array" ref="H75">$G$4+SUMPRODUCT($B$4:$F$4,B75:F75)</f>
        <v>-6.70220618836002</v>
      </c>
      <c r="I75" s="2">
        <v>0.00122669264952856</v>
      </c>
      <c r="J75" s="2">
        <v>0</v>
      </c>
      <c r="K75" s="2">
        <v>0</v>
      </c>
      <c r="L75" s="2">
        <v>0.998773307350471</v>
      </c>
      <c r="M75" s="2">
        <v>-0.00122744565282217</v>
      </c>
    </row>
    <row r="76" spans="1:13">
      <c r="A76" s="2">
        <v>71</v>
      </c>
      <c r="B76" s="2">
        <v>120.726</v>
      </c>
      <c r="C76" s="2">
        <v>23.97214</v>
      </c>
      <c r="D76" s="2">
        <v>10.747151</v>
      </c>
      <c r="E76" s="2">
        <v>12.6636</v>
      </c>
      <c r="F76" s="2">
        <v>61.7244</v>
      </c>
      <c r="G76" s="2">
        <v>0</v>
      </c>
      <c r="H76" cm="1">
        <f t="array" ref="H76">$G$4+SUMPRODUCT($B$4:$F$4,B76:F76)</f>
        <v>0.165187463025558</v>
      </c>
      <c r="I76" s="2">
        <v>0.541203216009103</v>
      </c>
      <c r="J76" s="2">
        <v>1</v>
      </c>
      <c r="K76" s="2">
        <v>1</v>
      </c>
      <c r="L76" s="2">
        <v>0.458796783990897</v>
      </c>
      <c r="M76" s="2">
        <v>-0.779147903361565</v>
      </c>
    </row>
    <row r="77" spans="1:13">
      <c r="A77" s="2">
        <v>72</v>
      </c>
      <c r="B77" s="2">
        <v>18.13685</v>
      </c>
      <c r="C77" s="2">
        <v>42.19291</v>
      </c>
      <c r="D77" s="2">
        <v>10.350371</v>
      </c>
      <c r="E77" s="2">
        <v>3.7098</v>
      </c>
      <c r="F77" s="2">
        <v>46.8153</v>
      </c>
      <c r="G77" s="2">
        <v>1</v>
      </c>
      <c r="H77" cm="1">
        <f t="array" ref="H77">$G$4+SUMPRODUCT($B$4:$F$4,B77:F77)</f>
        <v>2.29638396371733</v>
      </c>
      <c r="I77" s="2">
        <v>0.908577117314346</v>
      </c>
      <c r="J77" s="2">
        <v>1</v>
      </c>
      <c r="K77" s="2">
        <v>0</v>
      </c>
      <c r="L77" s="2">
        <v>0.908577117314346</v>
      </c>
      <c r="M77" s="2">
        <v>-0.0958755105278488</v>
      </c>
    </row>
    <row r="78" spans="1:13">
      <c r="A78" s="2">
        <v>73</v>
      </c>
      <c r="B78" s="2">
        <v>44.6032</v>
      </c>
      <c r="C78" s="2">
        <v>24.625838</v>
      </c>
      <c r="D78" s="2">
        <v>22.360833</v>
      </c>
      <c r="E78" s="2">
        <v>2.0908</v>
      </c>
      <c r="F78" s="2">
        <v>29.3162</v>
      </c>
      <c r="G78" s="2">
        <v>1</v>
      </c>
      <c r="H78" cm="1">
        <f t="array" ref="H78">$G$4+SUMPRODUCT($B$4:$F$4,B78:F78)</f>
        <v>0.815264414479793</v>
      </c>
      <c r="I78" s="2">
        <v>0.69323018313634</v>
      </c>
      <c r="J78" s="2">
        <v>1</v>
      </c>
      <c r="K78" s="2">
        <v>0</v>
      </c>
      <c r="L78" s="2">
        <v>0.69323018313634</v>
      </c>
      <c r="M78" s="2">
        <v>-0.366393180345467</v>
      </c>
    </row>
    <row r="79" spans="1:13">
      <c r="A79" s="2">
        <v>74</v>
      </c>
      <c r="B79" s="2">
        <v>78.211</v>
      </c>
      <c r="C79" s="2">
        <v>10.045872</v>
      </c>
      <c r="D79" s="2">
        <v>23.183486</v>
      </c>
      <c r="E79" s="2">
        <v>5.5046</v>
      </c>
      <c r="F79" s="2">
        <v>51.7523</v>
      </c>
      <c r="G79" s="2">
        <v>1</v>
      </c>
      <c r="H79" cm="1">
        <f t="array" ref="H79">$G$4+SUMPRODUCT($B$4:$F$4,B79:F79)</f>
        <v>0.0463245112940305</v>
      </c>
      <c r="I79" s="2">
        <v>0.511579057214428</v>
      </c>
      <c r="J79" s="2">
        <v>1</v>
      </c>
      <c r="K79" s="2">
        <v>0</v>
      </c>
      <c r="L79" s="2">
        <v>0.511579057214428</v>
      </c>
      <c r="M79" s="2">
        <v>-0.670253145974555</v>
      </c>
    </row>
    <row r="80" spans="1:13">
      <c r="A80" s="2">
        <v>75</v>
      </c>
      <c r="B80" s="2">
        <v>422.8962</v>
      </c>
      <c r="C80" s="2">
        <v>31.747117</v>
      </c>
      <c r="D80" s="2">
        <v>11.610423</v>
      </c>
      <c r="E80" s="2">
        <v>76.0358</v>
      </c>
      <c r="F80" s="2">
        <v>233.4579</v>
      </c>
      <c r="G80" s="2">
        <v>0</v>
      </c>
      <c r="H80" cm="1">
        <f t="array" ref="H80">$G$4+SUMPRODUCT($B$4:$F$4,B80:F80)</f>
        <v>-7.45297888120426</v>
      </c>
      <c r="I80" s="2">
        <v>0.000579376272461936</v>
      </c>
      <c r="J80" s="2">
        <v>0</v>
      </c>
      <c r="K80" s="2">
        <v>0</v>
      </c>
      <c r="L80" s="2">
        <v>0.999420623727538</v>
      </c>
      <c r="M80" s="2">
        <v>-0.000579544175750428</v>
      </c>
    </row>
    <row r="81" spans="1:13">
      <c r="A81" s="2">
        <v>76</v>
      </c>
      <c r="B81" s="2">
        <v>189.781</v>
      </c>
      <c r="C81" s="2">
        <v>35.808133</v>
      </c>
      <c r="D81" s="2">
        <v>12.294056</v>
      </c>
      <c r="E81" s="2">
        <v>135.5578</v>
      </c>
      <c r="F81" s="2">
        <v>170.464</v>
      </c>
      <c r="G81" s="2">
        <v>0</v>
      </c>
      <c r="H81" cm="1">
        <f t="array" ref="H81">$G$4+SUMPRODUCT($B$4:$F$4,B81:F81)</f>
        <v>-3.21416928377225</v>
      </c>
      <c r="I81" s="2">
        <v>0.0386359755329002</v>
      </c>
      <c r="J81" s="2">
        <v>0</v>
      </c>
      <c r="K81" s="2">
        <v>0</v>
      </c>
      <c r="L81" s="2">
        <v>0.9613640244671</v>
      </c>
      <c r="M81" s="2">
        <v>-0.0394021441651082</v>
      </c>
    </row>
    <row r="82" spans="1:13">
      <c r="A82" s="2">
        <v>77</v>
      </c>
      <c r="B82" s="2">
        <v>267.4094</v>
      </c>
      <c r="C82" s="2">
        <v>43.604457</v>
      </c>
      <c r="D82" s="2">
        <v>6.178273</v>
      </c>
      <c r="E82" s="2">
        <v>135.9332</v>
      </c>
      <c r="F82" s="2">
        <v>206.0585</v>
      </c>
      <c r="G82" s="2">
        <v>0</v>
      </c>
      <c r="H82" cm="1">
        <f t="array" ref="H82">$G$4+SUMPRODUCT($B$4:$F$4,B82:F82)</f>
        <v>-4.39865649899942</v>
      </c>
      <c r="I82" s="2">
        <v>0.0121445424765731</v>
      </c>
      <c r="J82" s="2">
        <v>0</v>
      </c>
      <c r="K82" s="2">
        <v>0</v>
      </c>
      <c r="L82" s="2">
        <v>0.987855457523427</v>
      </c>
      <c r="M82" s="2">
        <v>-0.0122188899900849</v>
      </c>
    </row>
    <row r="83" spans="1:13">
      <c r="A83" s="2">
        <v>78</v>
      </c>
      <c r="B83" s="2">
        <v>660.6364</v>
      </c>
      <c r="C83" s="2">
        <v>38.904635</v>
      </c>
      <c r="D83" s="2">
        <v>12.255158</v>
      </c>
      <c r="E83" s="2">
        <v>52.7104</v>
      </c>
      <c r="F83" s="2">
        <v>220.9068</v>
      </c>
      <c r="G83" s="2">
        <v>0</v>
      </c>
      <c r="H83" cm="1">
        <f t="array" ref="H83">$G$4+SUMPRODUCT($B$4:$F$4,B83:F83)</f>
        <v>-12.1052475127252</v>
      </c>
      <c r="I83" s="2">
        <v>5.53038545058407e-6</v>
      </c>
      <c r="J83" s="2">
        <v>0</v>
      </c>
      <c r="K83" s="2">
        <v>0</v>
      </c>
      <c r="L83" s="2">
        <v>0.999994469614549</v>
      </c>
      <c r="M83" s="2">
        <v>-5.5304007432297e-6</v>
      </c>
    </row>
    <row r="84" spans="1:13">
      <c r="A84" s="2">
        <v>79</v>
      </c>
      <c r="B84" s="2">
        <v>238.983</v>
      </c>
      <c r="C84" s="2">
        <v>31.110169</v>
      </c>
      <c r="D84" s="2">
        <v>34.54661</v>
      </c>
      <c r="E84" s="2">
        <v>83.8984</v>
      </c>
      <c r="F84" s="2">
        <v>154.661</v>
      </c>
      <c r="G84" s="2">
        <v>0</v>
      </c>
      <c r="H84" cm="1">
        <f t="array" ref="H84">$G$4+SUMPRODUCT($B$4:$F$4,B84:F84)</f>
        <v>-5.72379326930707</v>
      </c>
      <c r="I84" s="2">
        <v>0.00325665319924742</v>
      </c>
      <c r="J84" s="2">
        <v>0</v>
      </c>
      <c r="K84" s="2">
        <v>0</v>
      </c>
      <c r="L84" s="2">
        <v>0.996743346800753</v>
      </c>
      <c r="M84" s="2">
        <v>-0.00326196763559835</v>
      </c>
    </row>
    <row r="85" spans="1:13">
      <c r="A85" s="2">
        <v>80</v>
      </c>
      <c r="B85" s="2">
        <v>66.7362</v>
      </c>
      <c r="C85" s="2">
        <v>69.739312</v>
      </c>
      <c r="D85" s="2">
        <v>16.05376</v>
      </c>
      <c r="E85" s="2">
        <v>21.3186</v>
      </c>
      <c r="F85" s="2">
        <v>106.103</v>
      </c>
      <c r="G85" s="2">
        <v>0</v>
      </c>
      <c r="H85" cm="1">
        <f t="array" ref="H85">$G$4+SUMPRODUCT($B$4:$F$4,B85:F85)</f>
        <v>0.121917200721283</v>
      </c>
      <c r="I85" s="2">
        <v>0.530441603016753</v>
      </c>
      <c r="J85" s="2">
        <v>1</v>
      </c>
      <c r="K85" s="2">
        <v>1</v>
      </c>
      <c r="L85" s="2">
        <v>0.469558396983247</v>
      </c>
      <c r="M85" s="2">
        <v>-0.755962606847549</v>
      </c>
    </row>
    <row r="86" spans="1:13">
      <c r="A86" s="2">
        <v>81</v>
      </c>
      <c r="B86" s="2">
        <v>57.9064</v>
      </c>
      <c r="C86" s="2">
        <v>63.747216</v>
      </c>
      <c r="D86" s="2">
        <v>17.934298</v>
      </c>
      <c r="E86" s="2">
        <v>26.726</v>
      </c>
      <c r="F86" s="2">
        <v>60.6347</v>
      </c>
      <c r="G86" s="2">
        <v>0</v>
      </c>
      <c r="H86" cm="1">
        <f t="array" ref="H86">$G$4+SUMPRODUCT($B$4:$F$4,B86:F86)</f>
        <v>0.280975714483972</v>
      </c>
      <c r="I86" s="2">
        <v>0.569785417094193</v>
      </c>
      <c r="J86" s="2">
        <v>1</v>
      </c>
      <c r="K86" s="2">
        <v>1</v>
      </c>
      <c r="L86" s="2">
        <v>0.430214582905807</v>
      </c>
      <c r="M86" s="2">
        <v>-0.843471164755093</v>
      </c>
    </row>
    <row r="87" spans="1:13">
      <c r="A87" s="2">
        <v>82</v>
      </c>
      <c r="B87" s="2">
        <v>220.82635</v>
      </c>
      <c r="C87" s="2">
        <v>17.761027</v>
      </c>
      <c r="D87" s="2">
        <v>3.076494</v>
      </c>
      <c r="E87" s="2">
        <v>217.7554</v>
      </c>
      <c r="F87" s="2">
        <v>235.7393</v>
      </c>
      <c r="G87" s="2">
        <v>1</v>
      </c>
      <c r="H87" cm="1">
        <f t="array" ref="H87">$G$4+SUMPRODUCT($B$4:$F$4,B87:F87)</f>
        <v>-3.93643630092709</v>
      </c>
      <c r="I87" s="2">
        <v>0.0191440001552302</v>
      </c>
      <c r="J87" s="2">
        <v>0</v>
      </c>
      <c r="K87" s="2">
        <v>1</v>
      </c>
      <c r="L87" s="2">
        <v>0.0191440001552302</v>
      </c>
      <c r="M87" s="2">
        <v>-3.95576592026751</v>
      </c>
    </row>
    <row r="88" spans="1:13">
      <c r="A88" s="2">
        <v>83</v>
      </c>
      <c r="B88" s="2">
        <v>37.33975</v>
      </c>
      <c r="C88" s="2">
        <v>40.123892</v>
      </c>
      <c r="D88" s="2">
        <v>30.374258</v>
      </c>
      <c r="E88" s="2">
        <v>20.6487</v>
      </c>
      <c r="F88" s="2">
        <v>167.6312</v>
      </c>
      <c r="G88" s="2">
        <v>1</v>
      </c>
      <c r="H88" cm="1">
        <f t="array" ref="H88">$G$4+SUMPRODUCT($B$4:$F$4,B88:F88)</f>
        <v>-0.663284689774748</v>
      </c>
      <c r="I88" s="2">
        <v>0.340002138004669</v>
      </c>
      <c r="J88" s="2">
        <v>0</v>
      </c>
      <c r="K88" s="2">
        <v>1</v>
      </c>
      <c r="L88" s="2">
        <v>0.340002138004669</v>
      </c>
      <c r="M88" s="2">
        <v>-1.07880337314267</v>
      </c>
    </row>
    <row r="89" spans="1:13">
      <c r="A89" s="2">
        <v>84</v>
      </c>
      <c r="B89" s="2">
        <v>14.4737</v>
      </c>
      <c r="C89" s="2">
        <v>140.934211</v>
      </c>
      <c r="D89" s="2">
        <v>9.342105</v>
      </c>
      <c r="E89" s="2">
        <v>3.0702</v>
      </c>
      <c r="F89" s="2">
        <v>37.5965</v>
      </c>
      <c r="G89" s="2">
        <v>1</v>
      </c>
      <c r="H89" cm="1">
        <f t="array" ref="H89">$G$4+SUMPRODUCT($B$4:$F$4,B89:F89)</f>
        <v>1.72671917225799</v>
      </c>
      <c r="I89" s="2">
        <v>0.848992285176187</v>
      </c>
      <c r="J89" s="2">
        <v>1</v>
      </c>
      <c r="K89" s="2">
        <v>0</v>
      </c>
      <c r="L89" s="2">
        <v>0.848992285176187</v>
      </c>
      <c r="M89" s="2">
        <v>-0.163705179665919</v>
      </c>
    </row>
    <row r="90" spans="1:13">
      <c r="A90" s="2">
        <v>85</v>
      </c>
      <c r="B90" s="2">
        <v>1269.2434</v>
      </c>
      <c r="C90" s="2">
        <v>18.659201</v>
      </c>
      <c r="D90" s="2">
        <v>10.154643</v>
      </c>
      <c r="E90" s="2">
        <v>107.2208</v>
      </c>
      <c r="F90" s="2">
        <v>246.0558</v>
      </c>
      <c r="G90" s="2">
        <v>0</v>
      </c>
      <c r="H90" cm="1">
        <f t="array" ref="H90">$G$4+SUMPRODUCT($B$4:$F$4,B90:F90)</f>
        <v>-24.7876956567007</v>
      </c>
      <c r="I90" s="2">
        <v>1.71727780611713e-11</v>
      </c>
      <c r="J90" s="2">
        <v>0</v>
      </c>
      <c r="K90" s="2">
        <v>0</v>
      </c>
      <c r="L90" s="2">
        <v>0.999999999982827</v>
      </c>
      <c r="M90" s="2">
        <v>-1.71728187227469e-11</v>
      </c>
    </row>
    <row r="91" spans="1:13">
      <c r="A91" s="2">
        <v>86</v>
      </c>
      <c r="B91" s="2">
        <v>192.027</v>
      </c>
      <c r="C91" s="2">
        <v>30.881527</v>
      </c>
      <c r="D91" s="2">
        <v>24.188658</v>
      </c>
      <c r="E91" s="2">
        <v>59.5172</v>
      </c>
      <c r="F91" s="2">
        <v>100.2386</v>
      </c>
      <c r="G91" s="2">
        <v>0</v>
      </c>
      <c r="H91" cm="1">
        <f t="array" ref="H91">$G$4+SUMPRODUCT($B$4:$F$4,B91:F91)</f>
        <v>-3.2932812337693</v>
      </c>
      <c r="I91" s="2">
        <v>0.0358024030662294</v>
      </c>
      <c r="J91" s="2">
        <v>0</v>
      </c>
      <c r="K91" s="2">
        <v>0</v>
      </c>
      <c r="L91" s="2">
        <v>0.964197596933771</v>
      </c>
      <c r="M91" s="2">
        <v>-0.0364590293039402</v>
      </c>
    </row>
    <row r="92" spans="1:13">
      <c r="A92" s="2">
        <v>87</v>
      </c>
      <c r="B92" s="2">
        <v>220.0724</v>
      </c>
      <c r="C92" s="2">
        <v>14.933961</v>
      </c>
      <c r="D92" s="2">
        <v>13.052915</v>
      </c>
      <c r="E92" s="2">
        <v>38.3612</v>
      </c>
      <c r="F92" s="2">
        <v>125.2776</v>
      </c>
      <c r="G92" s="2">
        <v>0</v>
      </c>
      <c r="H92" cm="1">
        <f t="array" ref="H92">$G$4+SUMPRODUCT($B$4:$F$4,B92:F92)</f>
        <v>-2.5229622441192</v>
      </c>
      <c r="I92" s="2">
        <v>0.0742640371648982</v>
      </c>
      <c r="J92" s="2">
        <v>0</v>
      </c>
      <c r="K92" s="2">
        <v>0</v>
      </c>
      <c r="L92" s="2">
        <v>0.925735962835102</v>
      </c>
      <c r="M92" s="2">
        <v>-0.0771662223224385</v>
      </c>
    </row>
    <row r="95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</sheetData>
  <mergeCells count="1">
    <mergeCell ref="A95:J95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2015-06-05T18:17:00Z</dcterms:created>
  <dcterms:modified xsi:type="dcterms:W3CDTF">2025-11-18T08:51:18Z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FC55D52A6B864ED0822022BEBDF88915_12</vt:lpwstr>
  </property>
  <property fmtid="{D5CDD505-2E9C-101B-9397-08002B2CF9AE}" pid="3" name="KSOProductBuildVer">
    <vt:lpwstr>1033-12.2.0.23155</vt:lpwstr>
  </property>
</Properties>
</file>