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1"/>
  </bookViews>
  <sheets>
    <sheet name="LR-log-likelihoods" sheetId="1" r:id="rId1"/>
    <sheet name="LR-log-loss" sheetId="4" r:id="rId2"/>
  </sheets>
  <definedNames>
    <definedName name="Heart_disease_processed_cleveland___Copy" localSheetId="0">'LR-log-likelihoods'!$A$6:$N$221</definedName>
    <definedName name="Heart_disease_processed_cleveland___Copy" localSheetId="1">'LR-log-loss'!$A$6:$N$221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Heart-disease-processed-cleveland - Copy" type="6" background="1" refreshedVersion="2" saveData="1">
    <textPr sourceFile="I:\HealthInformaticsCertificate\HINF539-MGMT539\Hong\Week4\Heart-disease-processed-cleveland - Copy.data" tab="0" comma="1">
      <textFields>
        <textField/>
      </textFields>
    </textPr>
  </connection>
  <connection id="2" name="Heart-disease-processed-cleveland - Copy1" type="6" background="1" refreshedVersion="2" saveData="1">
    <textPr sourceFile="I:\HealthInformaticsCertificate\HINF539-MGMT539\Hong\Week4\Heart-disease-processed-cleveland - Copy.data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<sst xmlns="http://schemas.openxmlformats.org/spreadsheetml/2006/main" count="86" uniqueCount="40">
  <si>
    <t>To-maximize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</si>
  <si>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</si>
  <si>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</si>
  <si>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</si>
  <si>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</si>
  <si>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</si>
  <si>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</si>
  <si>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</si>
  <si>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</si>
  <si>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</si>
  <si>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</si>
  <si>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</si>
  <si>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</si>
  <si>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</si>
  <si>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</si>
  <si>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Cross-validation Diff=</t>
  </si>
  <si>
    <t>Cross-validation Accuracy=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</si>
  <si>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</si>
  <si>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</si>
  <si>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</si>
  <si>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</si>
  <si>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</si>
  <si>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</si>
  <si>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</si>
  <si>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</si>
  <si>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</si>
  <si>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</si>
  <si>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</si>
  <si>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</si>
  <si>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</si>
  <si>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</si>
  <si>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m1x1+m2x2+…+b</t>
  </si>
  <si>
    <t>P(1)</t>
  </si>
  <si>
    <t>Predicted Outcome</t>
  </si>
  <si>
    <t>Difference</t>
  </si>
  <si>
    <t>Likelyhood</t>
  </si>
  <si>
    <t>Ln(Likelyhood)</t>
  </si>
  <si>
    <t>Validation/Test Dataset</t>
  </si>
  <si>
    <t>Actual Outcome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</si>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</sst>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10" fontId="0" fillId="0" borderId="0" xfId="3" applyNumberFormat="1" applyFo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0</xdr:colOff>
      <xdr:row>0</xdr:row>
      <xdr:rowOff>171450</xdr:rowOff>
    </xdr:from>
    <xdr:to>
      <xdr:col>27</xdr:col>
      <xdr:colOff>428625</xdr:colOff>
      <xdr:row>11</xdr:row>
      <xdr:rowOff>170815</xdr:rowOff>
    </xdr:to>
    <xdr:sp>
      <xdr:nvSpPr>
        <xdr:cNvPr id="2" name="TextBox 1"/>
        <xdr:cNvSpPr txBox="1"/>
      </xdr:nvSpPr>
      <xdr:spPr>
        <a:xfrm>
          <a:off x="12658725" y="171450"/>
          <a:ext cx="4029075" cy="2094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The training data is in A6:N219</a:t>
          </a:r>
          <a:endParaRPr lang="en-US" sz="1100"/>
        </a:p>
        <a:p>
          <a:endParaRPr lang="en-US" sz="1100"/>
        </a:p>
        <a:p>
          <a:r>
            <a:rPr lang="en-US" sz="1100"/>
            <a:t>The validation/test data is in A224:N306</a:t>
          </a:r>
          <a:endParaRPr lang="en-US" sz="1100"/>
        </a:p>
      </xdr:txBody>
    </xdr:sp>
    <xdr:clientData/>
  </xdr:twoCellAnchor>
  <xdr:twoCellAnchor>
    <xdr:from>
      <xdr:col>20</xdr:col>
      <xdr:colOff>590550</xdr:colOff>
      <xdr:row>13</xdr:row>
      <xdr:rowOff>0</xdr:rowOff>
    </xdr:from>
    <xdr:to>
      <xdr:col>30</xdr:col>
      <xdr:colOff>247650</xdr:colOff>
      <xdr:row>47</xdr:row>
      <xdr:rowOff>133350</xdr:rowOff>
    </xdr:to>
    <xdr:sp>
      <xdr:nvSpPr>
        <xdr:cNvPr id="3" name="TextBox 2"/>
        <xdr:cNvSpPr txBox="1"/>
      </xdr:nvSpPr>
      <xdr:spPr>
        <a:xfrm>
          <a:off x="12649200" y="2476500"/>
          <a:ext cx="5657850" cy="661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The data is downloaded from http://archive.ics.uci.edu/ml/datasets/Heart+Disease.</a:t>
          </a:r>
          <a:endParaRPr lang="en-US" sz="1100"/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  <a:endParaRPr lang="en-US" sz="1100"/>
        </a:p>
        <a:p>
          <a:r>
            <a:rPr lang="en-US" sz="1100"/>
            <a:t>2. #4 (sex)</a:t>
          </a:r>
          <a:endParaRPr lang="en-US" sz="1100"/>
        </a:p>
        <a:p>
          <a:r>
            <a:rPr lang="en-US" sz="1100"/>
            <a:t>3. #9 (cp)</a:t>
          </a:r>
          <a:endParaRPr lang="en-US" sz="1100"/>
        </a:p>
        <a:p>
          <a:r>
            <a:rPr lang="en-US" sz="1100"/>
            <a:t>4. #10 (trestbps)</a:t>
          </a:r>
          <a:endParaRPr lang="en-US" sz="1100"/>
        </a:p>
        <a:p>
          <a:r>
            <a:rPr lang="en-US" sz="1100"/>
            <a:t>5. #12 (chol)</a:t>
          </a:r>
          <a:endParaRPr lang="en-US" sz="1100"/>
        </a:p>
        <a:p>
          <a:r>
            <a:rPr lang="en-US" sz="1100"/>
            <a:t>6. #16 (fbs) </a:t>
          </a:r>
          <a:endParaRPr lang="en-US" sz="1100"/>
        </a:p>
        <a:p>
          <a:r>
            <a:rPr lang="en-US" sz="1100"/>
            <a:t>7. #19 (restecg)</a:t>
          </a:r>
          <a:endParaRPr lang="en-US" sz="1100"/>
        </a:p>
        <a:p>
          <a:r>
            <a:rPr lang="en-US" sz="1100"/>
            <a:t>8. #32 (thalach) </a:t>
          </a:r>
          <a:endParaRPr lang="en-US" sz="1100"/>
        </a:p>
        <a:p>
          <a:r>
            <a:rPr lang="en-US" sz="1100"/>
            <a:t>9. #38 (exang) </a:t>
          </a:r>
          <a:endParaRPr lang="en-US" sz="1100"/>
        </a:p>
        <a:p>
          <a:r>
            <a:rPr lang="en-US" sz="1100"/>
            <a:t>10. #40 (oldpeak) </a:t>
          </a:r>
          <a:endParaRPr lang="en-US" sz="1100"/>
        </a:p>
        <a:p>
          <a:r>
            <a:rPr lang="en-US" sz="1100"/>
            <a:t>11. #41 (slope) </a:t>
          </a:r>
          <a:endParaRPr lang="en-US" sz="1100"/>
        </a:p>
        <a:p>
          <a:r>
            <a:rPr lang="en-US" sz="1100"/>
            <a:t>12. #44 (ca)</a:t>
          </a:r>
          <a:endParaRPr lang="en-US" sz="1100"/>
        </a:p>
        <a:p>
          <a:r>
            <a:rPr lang="en-US" sz="1100"/>
            <a:t>13. #51 (thal)</a:t>
          </a:r>
          <a:endParaRPr lang="en-US" sz="1100"/>
        </a:p>
        <a:p>
          <a:r>
            <a:rPr lang="en-US" sz="1100"/>
            <a:t>14. #58 (num) (the predicted attribute). It is in fact diagnosis of heart disease (angiographic disease status)</a:t>
          </a:r>
          <a:endParaRPr lang="en-US" sz="1100"/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  <a:endParaRPr lang="en-US" sz="1100" baseline="0"/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  <a:endParaRPr lang="en-US" sz="1100" baseline="0"/>
        </a:p>
        <a:p>
          <a:endParaRPr lang="en-US" sz="1100" baseline="0"/>
        </a:p>
        <a:p>
          <a:r>
            <a:rPr lang="en-US" sz="1100" baseline="0"/>
            <a:t>The dataset is contributed by:</a:t>
          </a:r>
          <a:endParaRPr lang="en-US" sz="1100" baseline="0"/>
        </a:p>
        <a:p>
          <a:endParaRPr lang="en-US" sz="1100" baseline="0"/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Reference:</a:t>
          </a:r>
          <a:endParaRPr lang="en-US" sz="1100"/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Heart-disease-processed-cleveland - Copy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Heart-disease-processed-cleveland - Copy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6"/>
  <sheetViews>
    <sheetView workbookViewId="0">
      <selection activeCell="V12" sqref="V12"/>
    </sheetView>
  </sheetViews>
  <sheetFormatPr defaultColWidth="9" defaultRowHeight="15"/>
  <cols>
    <col min="1" max="1" width="7.57142857142857" customWidth="1"/>
    <col min="2" max="2" width="6.42857142857143" customWidth="1"/>
    <col min="3" max="3" width="6.85714285714286" customWidth="1"/>
    <col min="4" max="4" width="7.57142857142857" customWidth="1"/>
    <col min="5" max="5" width="6.85714285714286" customWidth="1"/>
    <col min="6" max="6" width="5.42857142857143" customWidth="1"/>
    <col min="7" max="7" width="6.71428571428571" customWidth="1"/>
    <col min="8" max="8" width="6.85714285714286" customWidth="1"/>
    <col min="9" max="9" width="5.71428571428571" customWidth="1"/>
    <col min="10" max="10" width="7.42857142857143" customWidth="1"/>
    <col min="11" max="11" width="5.28571428571429" customWidth="1"/>
    <col min="12" max="12" width="5.14285714285714" customWidth="1"/>
    <col min="13" max="13" width="5.85714285714286" customWidth="1"/>
    <col min="14" max="14" width="15.2857142857143" customWidth="1"/>
    <col min="15" max="15" width="10.8571428571429" customWidth="1"/>
    <col min="17" max="17" width="24.8571428571429" customWidth="1"/>
    <col min="19" max="19" width="11.8571428571429" customWidth="1"/>
    <col min="20" max="20" width="12.4285714285714" customWidth="1"/>
  </cols>
  <sheetData>
    <row r="1" spans="1:20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0</v>
      </c>
      <c r="T1">
        <f>SUM(T6:T219)</f>
        <v>-70.4172291252916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8">
      <c r="A3">
        <f>INDEX(LINEST($N6:$N219,$A6:$M219),1,A1)</f>
        <v>-0.00105376379455571</v>
      </c>
      <c r="B3">
        <f>INDEX(LINEST($N6:$N219,$A6:$M219),1,B1)</f>
        <v>0.112191449282481</v>
      </c>
      <c r="C3">
        <f t="shared" ref="B3:N3" si="0">INDEX(LINEST($N6:$N219,$A6:$M219),1,C1)</f>
        <v>0.103269918895218</v>
      </c>
      <c r="D3">
        <f t="shared" si="0"/>
        <v>0.00239557235051842</v>
      </c>
      <c r="E3">
        <f t="shared" si="0"/>
        <v>0.000111778360667736</v>
      </c>
      <c r="F3">
        <f t="shared" si="0"/>
        <v>-0.0678902084742288</v>
      </c>
      <c r="G3">
        <f t="shared" si="0"/>
        <v>0.0215673222753362</v>
      </c>
      <c r="H3">
        <f t="shared" si="0"/>
        <v>-0.00264759449472493</v>
      </c>
      <c r="I3">
        <f t="shared" si="0"/>
        <v>0.124540642780911</v>
      </c>
      <c r="J3">
        <f t="shared" si="0"/>
        <v>0.0317886472135364</v>
      </c>
      <c r="K3">
        <f t="shared" si="0"/>
        <v>0.0869364238288328</v>
      </c>
      <c r="L3">
        <f t="shared" si="0"/>
        <v>0.156819215549918</v>
      </c>
      <c r="M3">
        <f t="shared" si="0"/>
        <v>0.0525396442585086</v>
      </c>
      <c r="N3">
        <f t="shared" si="0"/>
        <v>-0.412306959482809</v>
      </c>
      <c r="Q3" t="s">
        <v>15</v>
      </c>
      <c r="R3">
        <f>SUM(R224:R306)</f>
        <v>16</v>
      </c>
    </row>
    <row r="4" spans="1:18">
      <c r="A4">
        <v>-0.0111722448434886</v>
      </c>
      <c r="B4">
        <v>0.910888569309193</v>
      </c>
      <c r="C4">
        <v>0.833603158730335</v>
      </c>
      <c r="D4">
        <v>0.0309263380835597</v>
      </c>
      <c r="E4">
        <v>0.00245961291009972</v>
      </c>
      <c r="F4">
        <v>-0.499307788519392</v>
      </c>
      <c r="G4">
        <v>0.2391483093156</v>
      </c>
      <c r="H4">
        <v>-0.0210346579953158</v>
      </c>
      <c r="I4">
        <v>0.731483451516926</v>
      </c>
      <c r="J4">
        <v>0.227372815030038</v>
      </c>
      <c r="K4">
        <v>0.857471215316866</v>
      </c>
      <c r="L4">
        <v>1.40526579925058</v>
      </c>
      <c r="M4">
        <v>0.303085184734023</v>
      </c>
      <c r="N4">
        <v>-8.72466662207263</v>
      </c>
      <c r="Q4" t="s">
        <v>16</v>
      </c>
      <c r="R4" s="2">
        <f>1-R3/(306-224+1)</f>
        <v>0.807228915662651</v>
      </c>
    </row>
    <row r="5" spans="1:20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s="1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</row>
    <row r="6" spans="1:20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SUMPRODUCT(A$4:M$4,A6:M6)+N$4</f>
        <v>6.54284917508884</v>
      </c>
      <c r="P6">
        <f t="shared" ref="P6:P69" si="1">1/(1+EXP(0-O6))</f>
        <v>0.998561692951076</v>
      </c>
      <c r="Q6">
        <f t="shared" ref="Q6:Q69" si="2">IF(P6&lt;=0.5,0,1)</f>
        <v>1</v>
      </c>
      <c r="R6">
        <f t="shared" ref="R6:R69" si="3">IF(N6=Q6,0,1)</f>
        <v>0</v>
      </c>
      <c r="S6">
        <f t="shared" ref="S6:S69" si="4">IF(N6=1,P6,1-P6)</f>
        <v>0.998561692951076</v>
      </c>
      <c r="T6">
        <f t="shared" ref="T6:T69" si="5">IF(S6=0,-100000,LN(S6))</f>
        <v>-0.0014393424054007</v>
      </c>
    </row>
    <row r="7" spans="1:20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>SUMPRODUCT(A$4:M$4,A7:M7)+N$4</f>
        <v>-2.23922374621027</v>
      </c>
      <c r="P7">
        <f t="shared" si="1"/>
        <v>0.0962830644349725</v>
      </c>
      <c r="Q7">
        <f t="shared" si="2"/>
        <v>0</v>
      </c>
      <c r="R7">
        <f t="shared" si="3"/>
        <v>0</v>
      </c>
      <c r="S7">
        <f t="shared" si="4"/>
        <v>0.903716935565028</v>
      </c>
      <c r="T7">
        <f t="shared" si="5"/>
        <v>-0.101239091998603</v>
      </c>
    </row>
    <row r="8" spans="1:20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>SUMPRODUCT(A$4:M$4,A8:M8)+N$4</f>
        <v>-2.45051589885692</v>
      </c>
      <c r="P8">
        <f t="shared" si="1"/>
        <v>0.0794008306827882</v>
      </c>
      <c r="Q8">
        <f t="shared" si="2"/>
        <v>0</v>
      </c>
      <c r="R8">
        <f t="shared" si="3"/>
        <v>0</v>
      </c>
      <c r="S8">
        <f t="shared" si="4"/>
        <v>0.920599169317212</v>
      </c>
      <c r="T8">
        <f t="shared" si="5"/>
        <v>-0.0827305499270028</v>
      </c>
    </row>
    <row r="9" spans="1:20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>SUMPRODUCT(A$4:M$4,A9:M9)+N$4</f>
        <v>-3.71310680634647</v>
      </c>
      <c r="P9">
        <f t="shared" si="1"/>
        <v>0.0238203400802312</v>
      </c>
      <c r="Q9">
        <f t="shared" si="2"/>
        <v>0</v>
      </c>
      <c r="R9">
        <f t="shared" si="3"/>
        <v>0</v>
      </c>
      <c r="S9">
        <f t="shared" si="4"/>
        <v>0.976179659919769</v>
      </c>
      <c r="T9">
        <f t="shared" si="5"/>
        <v>-0.0241086317226332</v>
      </c>
    </row>
    <row r="10" spans="1:20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>SUMPRODUCT(A$4:M$4,A10:M10)+N$4</f>
        <v>-2.56006468008125</v>
      </c>
      <c r="P10">
        <f t="shared" si="1"/>
        <v>0.071753234146527</v>
      </c>
      <c r="Q10">
        <f t="shared" si="2"/>
        <v>0</v>
      </c>
      <c r="R10">
        <f t="shared" si="3"/>
        <v>0</v>
      </c>
      <c r="S10">
        <f t="shared" si="4"/>
        <v>0.928246765853473</v>
      </c>
      <c r="T10">
        <f t="shared" si="5"/>
        <v>-0.0744576700640924</v>
      </c>
    </row>
    <row r="11" spans="1:20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>SUMPRODUCT(A$4:M$4,A11:M11)+N$4</f>
        <v>-2.04048220553501</v>
      </c>
      <c r="P11">
        <f t="shared" si="1"/>
        <v>0.115017639915162</v>
      </c>
      <c r="Q11">
        <f t="shared" si="2"/>
        <v>0</v>
      </c>
      <c r="R11">
        <f t="shared" si="3"/>
        <v>0</v>
      </c>
      <c r="S11">
        <f t="shared" si="4"/>
        <v>0.884982360084838</v>
      </c>
      <c r="T11">
        <f t="shared" si="5"/>
        <v>-0.122187566280382</v>
      </c>
    </row>
    <row r="12" spans="1:20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>SUMPRODUCT(A$4:M$4,A12:M12)+N$4</f>
        <v>3.32624159725486</v>
      </c>
      <c r="P12">
        <f t="shared" si="1"/>
        <v>0.965318161934904</v>
      </c>
      <c r="Q12">
        <f t="shared" si="2"/>
        <v>1</v>
      </c>
      <c r="R12">
        <f t="shared" si="3"/>
        <v>0</v>
      </c>
      <c r="S12">
        <f t="shared" si="4"/>
        <v>0.965318161934904</v>
      </c>
      <c r="T12">
        <f t="shared" si="5"/>
        <v>-0.0352975304957951</v>
      </c>
    </row>
    <row r="13" spans="1:20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>SUMPRODUCT(A$4:M$4,A13:M13)+N$4</f>
        <v>-0.555840544831948</v>
      </c>
      <c r="P13">
        <f t="shared" si="1"/>
        <v>0.36451042254326</v>
      </c>
      <c r="Q13">
        <f t="shared" si="2"/>
        <v>0</v>
      </c>
      <c r="R13">
        <f t="shared" si="3"/>
        <v>0</v>
      </c>
      <c r="S13">
        <f t="shared" si="4"/>
        <v>0.63548957745674</v>
      </c>
      <c r="T13">
        <f t="shared" si="5"/>
        <v>-0.453359589027261</v>
      </c>
    </row>
    <row r="14" spans="1:20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>SUMPRODUCT(A$4:M$4,A14:M14)+N$4</f>
        <v>-0.899079597489045</v>
      </c>
      <c r="P14">
        <f t="shared" si="1"/>
        <v>0.289239677091362</v>
      </c>
      <c r="Q14">
        <f t="shared" si="2"/>
        <v>0</v>
      </c>
      <c r="R14">
        <f t="shared" si="3"/>
        <v>0</v>
      </c>
      <c r="S14">
        <f t="shared" si="4"/>
        <v>0.710760322908638</v>
      </c>
      <c r="T14">
        <f t="shared" si="5"/>
        <v>-0.341420004590776</v>
      </c>
    </row>
    <row r="15" spans="1:20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>SUMPRODUCT(A$4:M$4,A15:M15)+N$4</f>
        <v>-2.54949852446667</v>
      </c>
      <c r="P15">
        <f t="shared" si="1"/>
        <v>0.0724601821584315</v>
      </c>
      <c r="Q15">
        <f t="shared" si="2"/>
        <v>0</v>
      </c>
      <c r="R15">
        <f t="shared" si="3"/>
        <v>1</v>
      </c>
      <c r="S15">
        <f t="shared" si="4"/>
        <v>0.0724601821584315</v>
      </c>
      <c r="T15">
        <f t="shared" si="5"/>
        <v>-2.62471807960129</v>
      </c>
    </row>
    <row r="16" spans="1:20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>SUMPRODUCT(A$4:M$4,A16:M16)+N$4</f>
        <v>2.41222742775242</v>
      </c>
      <c r="P16">
        <f t="shared" si="1"/>
        <v>0.917754966396537</v>
      </c>
      <c r="Q16">
        <f t="shared" si="2"/>
        <v>1</v>
      </c>
      <c r="R16">
        <f t="shared" si="3"/>
        <v>0</v>
      </c>
      <c r="S16">
        <f t="shared" si="4"/>
        <v>0.917754966396537</v>
      </c>
      <c r="T16">
        <f t="shared" si="5"/>
        <v>-0.0858248451281032</v>
      </c>
    </row>
    <row r="17" spans="1:20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>SUMPRODUCT(A$4:M$4,A17:M17)+N$4</f>
        <v>-3.78856364521091</v>
      </c>
      <c r="P17">
        <f t="shared" si="1"/>
        <v>0.0221273803291603</v>
      </c>
      <c r="Q17">
        <f t="shared" si="2"/>
        <v>0</v>
      </c>
      <c r="R17">
        <f t="shared" si="3"/>
        <v>0</v>
      </c>
      <c r="S17">
        <f t="shared" si="4"/>
        <v>0.97787261967084</v>
      </c>
      <c r="T17">
        <f t="shared" si="5"/>
        <v>-0.0223758631653699</v>
      </c>
    </row>
    <row r="18" spans="1:20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>SUMPRODUCT(A$4:M$4,A18:M18)+N$4</f>
        <v>0.66451553226398</v>
      </c>
      <c r="P18">
        <f t="shared" si="1"/>
        <v>0.66027400947482</v>
      </c>
      <c r="Q18">
        <f t="shared" si="2"/>
        <v>1</v>
      </c>
      <c r="R18">
        <f t="shared" si="3"/>
        <v>0</v>
      </c>
      <c r="S18">
        <f t="shared" si="4"/>
        <v>0.66027400947482</v>
      </c>
      <c r="T18">
        <f t="shared" si="5"/>
        <v>-0.415100364248232</v>
      </c>
    </row>
    <row r="19" spans="1:20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</v>
      </c>
      <c r="K19">
        <v>2</v>
      </c>
      <c r="L19">
        <v>3</v>
      </c>
      <c r="M19">
        <v>7</v>
      </c>
      <c r="N19">
        <v>1</v>
      </c>
      <c r="O19">
        <f>SUMPRODUCT(A$4:M$4,A19:M19)+N$4</f>
        <v>6.3692882318642</v>
      </c>
      <c r="P19">
        <f t="shared" si="1"/>
        <v>0.998289552324214</v>
      </c>
      <c r="Q19">
        <f t="shared" si="2"/>
        <v>1</v>
      </c>
      <c r="R19">
        <f t="shared" si="3"/>
        <v>0</v>
      </c>
      <c r="S19">
        <f t="shared" si="4"/>
        <v>0.998289552324214</v>
      </c>
      <c r="T19">
        <f t="shared" si="5"/>
        <v>-0.00171191216160072</v>
      </c>
    </row>
    <row r="20" spans="1:20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>SUMPRODUCT(A$4:M$4,A20:M20)+N$4</f>
        <v>2.27411126832926</v>
      </c>
      <c r="P20">
        <f t="shared" si="1"/>
        <v>0.906710129054663</v>
      </c>
      <c r="Q20">
        <f t="shared" si="2"/>
        <v>1</v>
      </c>
      <c r="R20">
        <f t="shared" si="3"/>
        <v>0</v>
      </c>
      <c r="S20">
        <f t="shared" si="4"/>
        <v>0.906710129054663</v>
      </c>
      <c r="T20">
        <f t="shared" si="5"/>
        <v>-0.0979324730517706</v>
      </c>
    </row>
    <row r="21" spans="1:20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>SUMPRODUCT(A$4:M$4,A21:M21)+N$4</f>
        <v>4.65278888028453</v>
      </c>
      <c r="P21">
        <f t="shared" si="1"/>
        <v>0.990555084100056</v>
      </c>
      <c r="Q21">
        <f t="shared" si="2"/>
        <v>1</v>
      </c>
      <c r="R21">
        <f t="shared" si="3"/>
        <v>0</v>
      </c>
      <c r="S21">
        <f t="shared" si="4"/>
        <v>0.990555084100056</v>
      </c>
      <c r="T21">
        <f t="shared" si="5"/>
        <v>-0.00948980197181748</v>
      </c>
    </row>
    <row r="22" spans="1:20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>SUMPRODUCT(A$4:M$4,A22:M22)+N$4</f>
        <v>-2.65933914670359</v>
      </c>
      <c r="P22">
        <f t="shared" si="1"/>
        <v>0.0654157240863154</v>
      </c>
      <c r="Q22">
        <f t="shared" si="2"/>
        <v>0</v>
      </c>
      <c r="R22">
        <f t="shared" si="3"/>
        <v>0</v>
      </c>
      <c r="S22">
        <f t="shared" si="4"/>
        <v>0.934584275913685</v>
      </c>
      <c r="T22">
        <f t="shared" si="5"/>
        <v>-0.0676534732595637</v>
      </c>
    </row>
    <row r="23" spans="1:20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>SUMPRODUCT(A$4:M$4,A23:M23)+N$4</f>
        <v>1.58407812483892</v>
      </c>
      <c r="P23">
        <f t="shared" si="1"/>
        <v>0.829781304744261</v>
      </c>
      <c r="Q23">
        <f t="shared" si="2"/>
        <v>1</v>
      </c>
      <c r="R23">
        <f t="shared" si="3"/>
        <v>0</v>
      </c>
      <c r="S23">
        <f t="shared" si="4"/>
        <v>0.829781304744261</v>
      </c>
      <c r="T23">
        <f t="shared" si="5"/>
        <v>-0.18659310117055</v>
      </c>
    </row>
    <row r="24" spans="1:20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>SUMPRODUCT(A$4:M$4,A24:M24)+N$4</f>
        <v>3.47301398071444</v>
      </c>
      <c r="P24">
        <f t="shared" si="1"/>
        <v>0.969910104704473</v>
      </c>
      <c r="Q24">
        <f t="shared" si="2"/>
        <v>1</v>
      </c>
      <c r="R24">
        <f t="shared" si="3"/>
        <v>0</v>
      </c>
      <c r="S24">
        <f t="shared" si="4"/>
        <v>0.969910104704473</v>
      </c>
      <c r="T24">
        <f t="shared" si="5"/>
        <v>-0.0305518873417532</v>
      </c>
    </row>
    <row r="25" spans="1:20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>SUMPRODUCT(A$4:M$4,A25:M25)+N$4</f>
        <v>-3.94902946097306</v>
      </c>
      <c r="P25">
        <f t="shared" si="1"/>
        <v>0.0189089583998715</v>
      </c>
      <c r="Q25">
        <f t="shared" si="2"/>
        <v>0</v>
      </c>
      <c r="R25">
        <f t="shared" si="3"/>
        <v>0</v>
      </c>
      <c r="S25">
        <f t="shared" si="4"/>
        <v>0.981091041600128</v>
      </c>
      <c r="T25">
        <f t="shared" si="5"/>
        <v>-0.0190900188297843</v>
      </c>
    </row>
    <row r="26" spans="1:20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>SUMPRODUCT(A$4:M$4,A26:M26)+N$4</f>
        <v>1.25468723904424</v>
      </c>
      <c r="P26">
        <f t="shared" si="1"/>
        <v>0.778110189965788</v>
      </c>
      <c r="Q26">
        <f t="shared" si="2"/>
        <v>1</v>
      </c>
      <c r="R26">
        <f t="shared" si="3"/>
        <v>0</v>
      </c>
      <c r="S26">
        <f t="shared" si="4"/>
        <v>0.778110189965788</v>
      </c>
      <c r="T26">
        <f t="shared" si="5"/>
        <v>-0.250887132485889</v>
      </c>
    </row>
    <row r="27" spans="1:20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>SUMPRODUCT(A$4:M$4,A27:M27)+N$4</f>
        <v>3.0367655626615</v>
      </c>
      <c r="P27">
        <f t="shared" si="1"/>
        <v>0.95420770676143</v>
      </c>
      <c r="Q27">
        <f t="shared" si="2"/>
        <v>1</v>
      </c>
      <c r="R27">
        <f t="shared" si="3"/>
        <v>0</v>
      </c>
      <c r="S27">
        <f t="shared" si="4"/>
        <v>0.95420770676143</v>
      </c>
      <c r="T27">
        <f t="shared" si="5"/>
        <v>-0.0468739092596903</v>
      </c>
    </row>
    <row r="28" spans="1:20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>SUMPRODUCT(A$4:M$4,A28:M28)+N$4</f>
        <v>0.437414136897448</v>
      </c>
      <c r="P28">
        <f t="shared" si="1"/>
        <v>0.607642699138002</v>
      </c>
      <c r="Q28">
        <f t="shared" si="2"/>
        <v>1</v>
      </c>
      <c r="R28">
        <f t="shared" si="3"/>
        <v>0</v>
      </c>
      <c r="S28">
        <f t="shared" si="4"/>
        <v>0.607642699138002</v>
      </c>
      <c r="T28">
        <f t="shared" si="5"/>
        <v>-0.498168235650695</v>
      </c>
    </row>
    <row r="29" spans="1:20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>SUMPRODUCT(A$4:M$4,A29:M29)+N$4</f>
        <v>-3.43917059219686</v>
      </c>
      <c r="P29">
        <f t="shared" si="1"/>
        <v>0.0310934617296228</v>
      </c>
      <c r="Q29">
        <f t="shared" si="2"/>
        <v>0</v>
      </c>
      <c r="R29">
        <f t="shared" si="3"/>
        <v>0</v>
      </c>
      <c r="S29">
        <f t="shared" si="4"/>
        <v>0.968906538270377</v>
      </c>
      <c r="T29">
        <f t="shared" si="5"/>
        <v>-0.0315871234764952</v>
      </c>
    </row>
    <row r="30" spans="1:20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>SUMPRODUCT(A$4:M$4,A30:M30)+N$4</f>
        <v>1.22505589555394</v>
      </c>
      <c r="P30">
        <f t="shared" si="1"/>
        <v>0.772952069057821</v>
      </c>
      <c r="Q30">
        <f t="shared" si="2"/>
        <v>1</v>
      </c>
      <c r="R30">
        <f t="shared" si="3"/>
        <v>0</v>
      </c>
      <c r="S30">
        <f t="shared" si="4"/>
        <v>0.772952069057821</v>
      </c>
      <c r="T30">
        <f t="shared" si="5"/>
        <v>-0.257538238710696</v>
      </c>
    </row>
    <row r="31" spans="1:20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>SUMPRODUCT(A$4:M$4,A31:M31)+N$4</f>
        <v>2.97932437480628</v>
      </c>
      <c r="P31">
        <f t="shared" si="1"/>
        <v>0.951631282290633</v>
      </c>
      <c r="Q31">
        <f t="shared" si="2"/>
        <v>1</v>
      </c>
      <c r="R31">
        <f t="shared" si="3"/>
        <v>0</v>
      </c>
      <c r="S31">
        <f t="shared" si="4"/>
        <v>0.951631282290633</v>
      </c>
      <c r="T31">
        <f t="shared" si="5"/>
        <v>-0.0495776277323305</v>
      </c>
    </row>
    <row r="32" spans="1:20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>SUMPRODUCT(A$4:M$4,A32:M32)+N$4</f>
        <v>-2.07818124862522</v>
      </c>
      <c r="P32">
        <f t="shared" si="1"/>
        <v>0.111235645518791</v>
      </c>
      <c r="Q32">
        <f t="shared" si="2"/>
        <v>0</v>
      </c>
      <c r="R32">
        <f t="shared" si="3"/>
        <v>1</v>
      </c>
      <c r="S32">
        <f t="shared" si="4"/>
        <v>0.111235645518791</v>
      </c>
      <c r="T32">
        <f t="shared" si="5"/>
        <v>-2.19610439530533</v>
      </c>
    </row>
    <row r="33" spans="1:20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>SUMPRODUCT(A$4:M$4,A33:M33)+N$4</f>
        <v>-3.4063848074381</v>
      </c>
      <c r="P33">
        <f t="shared" si="1"/>
        <v>0.0320965184802081</v>
      </c>
      <c r="Q33">
        <f t="shared" si="2"/>
        <v>0</v>
      </c>
      <c r="R33">
        <f t="shared" si="3"/>
        <v>0</v>
      </c>
      <c r="S33">
        <f t="shared" si="4"/>
        <v>0.967903481519792</v>
      </c>
      <c r="T33">
        <f t="shared" si="5"/>
        <v>-0.0326229058506189</v>
      </c>
    </row>
    <row r="34" spans="1:20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>SUMPRODUCT(A$4:M$4,A34:M34)+N$4</f>
        <v>-3.95235937814449</v>
      </c>
      <c r="P34">
        <f t="shared" si="1"/>
        <v>0.0188472826033877</v>
      </c>
      <c r="Q34">
        <f t="shared" si="2"/>
        <v>0</v>
      </c>
      <c r="R34">
        <f t="shared" si="3"/>
        <v>0</v>
      </c>
      <c r="S34">
        <f t="shared" si="4"/>
        <v>0.981152717396612</v>
      </c>
      <c r="T34">
        <f t="shared" si="5"/>
        <v>-0.0190271563070001</v>
      </c>
    </row>
    <row r="35" spans="1:20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>SUMPRODUCT(A$4:M$4,A35:M35)+N$4</f>
        <v>-1.01344315108731</v>
      </c>
      <c r="P35">
        <f t="shared" si="1"/>
        <v>0.266306561410806</v>
      </c>
      <c r="Q35">
        <f t="shared" si="2"/>
        <v>0</v>
      </c>
      <c r="R35">
        <f t="shared" si="3"/>
        <v>0</v>
      </c>
      <c r="S35">
        <f t="shared" si="4"/>
        <v>0.733693438589194</v>
      </c>
      <c r="T35">
        <f t="shared" si="5"/>
        <v>-0.309663996209095</v>
      </c>
    </row>
    <row r="36" spans="1:20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>SUMPRODUCT(A$4:M$4,A36:M36)+N$4</f>
        <v>-2.84773829493514</v>
      </c>
      <c r="P36">
        <f t="shared" si="1"/>
        <v>0.0547983454433833</v>
      </c>
      <c r="Q36">
        <f t="shared" si="2"/>
        <v>0</v>
      </c>
      <c r="R36">
        <f t="shared" si="3"/>
        <v>0</v>
      </c>
      <c r="S36">
        <f t="shared" si="4"/>
        <v>0.945201654556617</v>
      </c>
      <c r="T36">
        <f t="shared" si="5"/>
        <v>-0.0563569831878263</v>
      </c>
    </row>
    <row r="37" spans="1:20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>SUMPRODUCT(A$4:M$4,A37:M37)+N$4</f>
        <v>3.03819957185651</v>
      </c>
      <c r="P37">
        <f t="shared" si="1"/>
        <v>0.954270325511481</v>
      </c>
      <c r="Q37">
        <f t="shared" si="2"/>
        <v>1</v>
      </c>
      <c r="R37">
        <f t="shared" si="3"/>
        <v>0</v>
      </c>
      <c r="S37">
        <f t="shared" si="4"/>
        <v>0.954270325511481</v>
      </c>
      <c r="T37">
        <f t="shared" si="5"/>
        <v>-0.046808287597806</v>
      </c>
    </row>
    <row r="38" spans="1:20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>SUMPRODUCT(A$4:M$4,A38:M38)+N$4</f>
        <v>-1.75722729637369</v>
      </c>
      <c r="P38">
        <f t="shared" si="1"/>
        <v>0.14713794154362</v>
      </c>
      <c r="Q38">
        <f t="shared" si="2"/>
        <v>0</v>
      </c>
      <c r="R38">
        <f t="shared" si="3"/>
        <v>0</v>
      </c>
      <c r="S38">
        <f t="shared" si="4"/>
        <v>0.85286205845638</v>
      </c>
      <c r="T38">
        <f t="shared" si="5"/>
        <v>-0.159157457983215</v>
      </c>
    </row>
    <row r="39" spans="1:20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>SUMPRODUCT(A$4:M$4,A39:M39)+N$4</f>
        <v>-2.88394608643414</v>
      </c>
      <c r="P39">
        <f t="shared" si="1"/>
        <v>0.0529528951017704</v>
      </c>
      <c r="Q39">
        <f t="shared" si="2"/>
        <v>0</v>
      </c>
      <c r="R39">
        <f t="shared" si="3"/>
        <v>0</v>
      </c>
      <c r="S39">
        <f t="shared" si="4"/>
        <v>0.94704710489823</v>
      </c>
      <c r="T39">
        <f t="shared" si="5"/>
        <v>-0.0544064458522976</v>
      </c>
    </row>
    <row r="40" spans="1:20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>SUMPRODUCT(A$4:M$4,A40:M40)+N$4</f>
        <v>-0.657692063331181</v>
      </c>
      <c r="P40">
        <f t="shared" si="1"/>
        <v>0.341258247908381</v>
      </c>
      <c r="Q40">
        <f t="shared" si="2"/>
        <v>0</v>
      </c>
      <c r="R40">
        <f t="shared" si="3"/>
        <v>1</v>
      </c>
      <c r="S40">
        <f t="shared" si="4"/>
        <v>0.341258247908381</v>
      </c>
      <c r="T40">
        <f t="shared" si="5"/>
        <v>-1.07511576308016</v>
      </c>
    </row>
    <row r="41" spans="1:20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>SUMPRODUCT(A$4:M$4,A41:M41)+N$4</f>
        <v>-4.86769463603666</v>
      </c>
      <c r="P41">
        <f t="shared" si="1"/>
        <v>0.00763237442554476</v>
      </c>
      <c r="Q41">
        <f t="shared" si="2"/>
        <v>0</v>
      </c>
      <c r="R41">
        <f t="shared" si="3"/>
        <v>0</v>
      </c>
      <c r="S41">
        <f t="shared" si="4"/>
        <v>0.992367625574455</v>
      </c>
      <c r="T41">
        <f t="shared" si="5"/>
        <v>-0.00766165005205788</v>
      </c>
    </row>
    <row r="42" spans="1:20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>SUMPRODUCT(A$4:M$4,A42:M42)+N$4</f>
        <v>-3.69085453391445</v>
      </c>
      <c r="P42">
        <f t="shared" si="1"/>
        <v>0.0243432902896935</v>
      </c>
      <c r="Q42">
        <f t="shared" si="2"/>
        <v>0</v>
      </c>
      <c r="R42">
        <f t="shared" si="3"/>
        <v>0</v>
      </c>
      <c r="S42">
        <f t="shared" si="4"/>
        <v>0.975656709710306</v>
      </c>
      <c r="T42">
        <f t="shared" si="5"/>
        <v>-0.0246444862953961</v>
      </c>
    </row>
    <row r="43" spans="1:20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>SUMPRODUCT(A$4:M$4,A43:M43)+N$4</f>
        <v>-2.26145439986139</v>
      </c>
      <c r="P43">
        <f t="shared" si="1"/>
        <v>0.0943660010485262</v>
      </c>
      <c r="Q43">
        <f t="shared" si="2"/>
        <v>0</v>
      </c>
      <c r="R43">
        <f t="shared" si="3"/>
        <v>0</v>
      </c>
      <c r="S43">
        <f t="shared" si="4"/>
        <v>0.905633998951474</v>
      </c>
      <c r="T43">
        <f t="shared" si="5"/>
        <v>-0.0991200292261534</v>
      </c>
    </row>
    <row r="44" spans="1:20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</v>
      </c>
      <c r="K44">
        <v>3</v>
      </c>
      <c r="L44">
        <v>1</v>
      </c>
      <c r="M44">
        <v>3</v>
      </c>
      <c r="N44">
        <v>1</v>
      </c>
      <c r="O44">
        <f>SUMPRODUCT(A$4:M$4,A44:M44)+N$4</f>
        <v>3.69944435315346</v>
      </c>
      <c r="P44">
        <f t="shared" si="1"/>
        <v>0.975859892468448</v>
      </c>
      <c r="Q44">
        <f t="shared" si="2"/>
        <v>1</v>
      </c>
      <c r="R44">
        <f t="shared" si="3"/>
        <v>0</v>
      </c>
      <c r="S44">
        <f t="shared" si="4"/>
        <v>0.975859892468448</v>
      </c>
      <c r="T44">
        <f t="shared" si="5"/>
        <v>-0.0244362556724548</v>
      </c>
    </row>
    <row r="45" spans="1:20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>SUMPRODUCT(A$4:M$4,A45:M45)+N$4</f>
        <v>0.45131331778853</v>
      </c>
      <c r="P45">
        <f t="shared" si="1"/>
        <v>0.610951441610611</v>
      </c>
      <c r="Q45">
        <f t="shared" si="2"/>
        <v>1</v>
      </c>
      <c r="R45">
        <f t="shared" si="3"/>
        <v>0</v>
      </c>
      <c r="S45">
        <f t="shared" si="4"/>
        <v>0.610951441610611</v>
      </c>
      <c r="T45">
        <f t="shared" si="5"/>
        <v>-0.492737796601126</v>
      </c>
    </row>
    <row r="46" spans="1:20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>SUMPRODUCT(A$4:M$4,A46:M46)+N$4</f>
        <v>-3.23438548985314</v>
      </c>
      <c r="P46">
        <f t="shared" si="1"/>
        <v>0.0378920442071793</v>
      </c>
      <c r="Q46">
        <f t="shared" si="2"/>
        <v>0</v>
      </c>
      <c r="R46">
        <f t="shared" si="3"/>
        <v>0</v>
      </c>
      <c r="S46">
        <f t="shared" si="4"/>
        <v>0.962107955792821</v>
      </c>
      <c r="T46">
        <f t="shared" si="5"/>
        <v>-0.0386286144537843</v>
      </c>
    </row>
    <row r="47" spans="1:20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>SUMPRODUCT(A$4:M$4,A47:M47)+N$4</f>
        <v>-0.990283684302627</v>
      </c>
      <c r="P47">
        <f t="shared" si="1"/>
        <v>0.270856048330912</v>
      </c>
      <c r="Q47">
        <f t="shared" si="2"/>
        <v>0</v>
      </c>
      <c r="R47">
        <f t="shared" si="3"/>
        <v>0</v>
      </c>
      <c r="S47">
        <f t="shared" si="4"/>
        <v>0.729143951669088</v>
      </c>
      <c r="T47">
        <f t="shared" si="5"/>
        <v>-0.315884101900391</v>
      </c>
    </row>
    <row r="48" spans="1:20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>SUMPRODUCT(A$4:M$4,A48:M48)+N$4</f>
        <v>-0.348038457741536</v>
      </c>
      <c r="P48">
        <f t="shared" si="1"/>
        <v>0.413858170649805</v>
      </c>
      <c r="Q48">
        <f t="shared" si="2"/>
        <v>0</v>
      </c>
      <c r="R48">
        <f t="shared" si="3"/>
        <v>0</v>
      </c>
      <c r="S48">
        <f t="shared" si="4"/>
        <v>0.586141829350195</v>
      </c>
      <c r="T48">
        <f t="shared" si="5"/>
        <v>-0.534193489081724</v>
      </c>
    </row>
    <row r="49" spans="1:20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>SUMPRODUCT(A$4:M$4,A49:M49)+N$4</f>
        <v>3.79161169322087</v>
      </c>
      <c r="P49">
        <f t="shared" si="1"/>
        <v>0.977938476623403</v>
      </c>
      <c r="Q49">
        <f t="shared" si="2"/>
        <v>1</v>
      </c>
      <c r="R49">
        <f t="shared" si="3"/>
        <v>0</v>
      </c>
      <c r="S49">
        <f t="shared" si="4"/>
        <v>0.977938476623403</v>
      </c>
      <c r="T49">
        <f t="shared" si="5"/>
        <v>-0.0223085182641028</v>
      </c>
    </row>
    <row r="50" spans="1:20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>SUMPRODUCT(A$4:M$4,A50:M50)+N$4</f>
        <v>1.72991867212411</v>
      </c>
      <c r="P50">
        <f t="shared" si="1"/>
        <v>0.849402017231813</v>
      </c>
      <c r="Q50">
        <f t="shared" si="2"/>
        <v>1</v>
      </c>
      <c r="R50">
        <f t="shared" si="3"/>
        <v>1</v>
      </c>
      <c r="S50">
        <f t="shared" si="4"/>
        <v>0.150597982768187</v>
      </c>
      <c r="T50">
        <f t="shared" si="5"/>
        <v>-1.89314135833961</v>
      </c>
    </row>
    <row r="51" spans="1:20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>SUMPRODUCT(A$4:M$4,A51:M51)+N$4</f>
        <v>1.60689329632694</v>
      </c>
      <c r="P51">
        <f t="shared" si="1"/>
        <v>0.83297961459429</v>
      </c>
      <c r="Q51">
        <f t="shared" si="2"/>
        <v>1</v>
      </c>
      <c r="R51">
        <f t="shared" si="3"/>
        <v>1</v>
      </c>
      <c r="S51">
        <f t="shared" si="4"/>
        <v>0.16702038540571</v>
      </c>
      <c r="T51">
        <f t="shared" si="5"/>
        <v>-1.78963940571745</v>
      </c>
    </row>
    <row r="52" spans="1:20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>SUMPRODUCT(A$4:M$4,A52:M52)+N$4</f>
        <v>4.78489384298933</v>
      </c>
      <c r="P52">
        <f t="shared" si="1"/>
        <v>0.99171421716</v>
      </c>
      <c r="Q52">
        <f t="shared" si="2"/>
        <v>1</v>
      </c>
      <c r="R52">
        <f t="shared" si="3"/>
        <v>0</v>
      </c>
      <c r="S52">
        <f t="shared" si="4"/>
        <v>0.99171421716</v>
      </c>
      <c r="T52">
        <f t="shared" si="5"/>
        <v>-0.00832030074277438</v>
      </c>
    </row>
    <row r="53" spans="1:20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>SUMPRODUCT(A$4:M$4,A53:M53)+N$4</f>
        <v>-0.480289716554186</v>
      </c>
      <c r="P53">
        <f t="shared" si="1"/>
        <v>0.38218371521952</v>
      </c>
      <c r="Q53">
        <f t="shared" si="2"/>
        <v>0</v>
      </c>
      <c r="R53">
        <f t="shared" si="3"/>
        <v>0</v>
      </c>
      <c r="S53">
        <f t="shared" si="4"/>
        <v>0.61781628478048</v>
      </c>
      <c r="T53">
        <f t="shared" si="5"/>
        <v>-0.48156413953706</v>
      </c>
    </row>
    <row r="54" spans="1:20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>SUMPRODUCT(A$4:M$4,A54:M54)+N$4</f>
        <v>-3.58984788814077</v>
      </c>
      <c r="P54">
        <f t="shared" si="1"/>
        <v>0.0268610946381998</v>
      </c>
      <c r="Q54">
        <f t="shared" si="2"/>
        <v>0</v>
      </c>
      <c r="R54">
        <f t="shared" si="3"/>
        <v>0</v>
      </c>
      <c r="S54">
        <f t="shared" si="4"/>
        <v>0.9731389053618</v>
      </c>
      <c r="T54">
        <f t="shared" si="5"/>
        <v>-0.0272284471068335</v>
      </c>
    </row>
    <row r="55" spans="1:20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>SUMPRODUCT(A$4:M$4,A55:M55)+N$4</f>
        <v>-5.67359144065371</v>
      </c>
      <c r="P55">
        <f t="shared" si="1"/>
        <v>0.00342374239899621</v>
      </c>
      <c r="Q55">
        <f t="shared" si="2"/>
        <v>0</v>
      </c>
      <c r="R55">
        <f t="shared" si="3"/>
        <v>0</v>
      </c>
      <c r="S55">
        <f t="shared" si="4"/>
        <v>0.996576257601004</v>
      </c>
      <c r="T55">
        <f t="shared" si="5"/>
        <v>-0.00342961681716584</v>
      </c>
    </row>
    <row r="56" spans="1:20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>SUMPRODUCT(A$4:M$4,A56:M56)+N$4</f>
        <v>-2.25744206877526</v>
      </c>
      <c r="P56">
        <f t="shared" si="1"/>
        <v>0.0947094576396335</v>
      </c>
      <c r="Q56">
        <f t="shared" si="2"/>
        <v>0</v>
      </c>
      <c r="R56">
        <f t="shared" si="3"/>
        <v>0</v>
      </c>
      <c r="S56">
        <f t="shared" si="4"/>
        <v>0.905290542360366</v>
      </c>
      <c r="T56">
        <f t="shared" si="5"/>
        <v>-0.0994993455227635</v>
      </c>
    </row>
    <row r="57" spans="1:20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>SUMPRODUCT(A$4:M$4,A57:M57)+N$4</f>
        <v>1.79341160002202</v>
      </c>
      <c r="P57">
        <f t="shared" si="1"/>
        <v>0.857345039529689</v>
      </c>
      <c r="Q57">
        <f t="shared" si="2"/>
        <v>1</v>
      </c>
      <c r="R57">
        <f t="shared" si="3"/>
        <v>0</v>
      </c>
      <c r="S57">
        <f t="shared" si="4"/>
        <v>0.857345039529689</v>
      </c>
      <c r="T57">
        <f t="shared" si="5"/>
        <v>-0.153914828191138</v>
      </c>
    </row>
    <row r="58" spans="1:20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>SUMPRODUCT(A$4:M$4,A58:M58)+N$4</f>
        <v>0.396389289826431</v>
      </c>
      <c r="P58">
        <f t="shared" si="1"/>
        <v>0.597819839903746</v>
      </c>
      <c r="Q58">
        <f t="shared" si="2"/>
        <v>1</v>
      </c>
      <c r="R58">
        <f t="shared" si="3"/>
        <v>0</v>
      </c>
      <c r="S58">
        <f t="shared" si="4"/>
        <v>0.597819839903746</v>
      </c>
      <c r="T58">
        <f t="shared" si="5"/>
        <v>-0.514465841486718</v>
      </c>
    </row>
    <row r="59" spans="1:20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>SUMPRODUCT(A$4:M$4,A59:M59)+N$4</f>
        <v>2.27314915441869</v>
      </c>
      <c r="P59">
        <f t="shared" si="1"/>
        <v>0.906628714998335</v>
      </c>
      <c r="Q59">
        <f t="shared" si="2"/>
        <v>1</v>
      </c>
      <c r="R59">
        <f t="shared" si="3"/>
        <v>0</v>
      </c>
      <c r="S59">
        <f t="shared" si="4"/>
        <v>0.906628714998335</v>
      </c>
      <c r="T59">
        <f t="shared" si="5"/>
        <v>-0.0980222676940123</v>
      </c>
    </row>
    <row r="60" spans="1:20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>SUMPRODUCT(A$4:M$4,A60:M60)+N$4</f>
        <v>2.14773377407763</v>
      </c>
      <c r="P60">
        <f t="shared" si="1"/>
        <v>0.895456816668476</v>
      </c>
      <c r="Q60">
        <f t="shared" si="2"/>
        <v>1</v>
      </c>
      <c r="R60">
        <f t="shared" si="3"/>
        <v>0</v>
      </c>
      <c r="S60">
        <f t="shared" si="4"/>
        <v>0.895456816668476</v>
      </c>
      <c r="T60">
        <f t="shared" si="5"/>
        <v>-0.110421281236551</v>
      </c>
    </row>
    <row r="61" spans="1:20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>SUMPRODUCT(A$4:M$4,A61:M61)+N$4</f>
        <v>-1.6293563956957</v>
      </c>
      <c r="P61">
        <f t="shared" si="1"/>
        <v>0.163918547637237</v>
      </c>
      <c r="Q61">
        <f t="shared" si="2"/>
        <v>0</v>
      </c>
      <c r="R61">
        <f t="shared" si="3"/>
        <v>0</v>
      </c>
      <c r="S61">
        <f t="shared" si="4"/>
        <v>0.836081452362763</v>
      </c>
      <c r="T61">
        <f t="shared" si="5"/>
        <v>-0.179029239587596</v>
      </c>
    </row>
    <row r="62" spans="1:20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>SUMPRODUCT(A$4:M$4,A62:M62)+N$4</f>
        <v>1.81005742645575</v>
      </c>
      <c r="P62">
        <f t="shared" si="1"/>
        <v>0.85936881462914</v>
      </c>
      <c r="Q62">
        <f t="shared" si="2"/>
        <v>1</v>
      </c>
      <c r="R62">
        <f t="shared" si="3"/>
        <v>0</v>
      </c>
      <c r="S62">
        <f t="shared" si="4"/>
        <v>0.85936881462914</v>
      </c>
      <c r="T62">
        <f t="shared" si="5"/>
        <v>-0.151557095675558</v>
      </c>
    </row>
    <row r="63" spans="1:20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>SUMPRODUCT(A$4:M$4,A63:M63)+N$4</f>
        <v>0.735725315890717</v>
      </c>
      <c r="P63">
        <f t="shared" si="1"/>
        <v>0.676060394171821</v>
      </c>
      <c r="Q63">
        <f t="shared" si="2"/>
        <v>1</v>
      </c>
      <c r="R63">
        <f t="shared" si="3"/>
        <v>1</v>
      </c>
      <c r="S63">
        <f t="shared" si="4"/>
        <v>0.323939605828179</v>
      </c>
      <c r="T63">
        <f t="shared" si="5"/>
        <v>-1.12719818232965</v>
      </c>
    </row>
    <row r="64" spans="1:20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>SUMPRODUCT(A$4:M$4,A64:M64)+N$4</f>
        <v>2.94371178424105</v>
      </c>
      <c r="P64">
        <f t="shared" si="1"/>
        <v>0.949965446935501</v>
      </c>
      <c r="Q64">
        <f t="shared" si="2"/>
        <v>1</v>
      </c>
      <c r="R64">
        <f t="shared" si="3"/>
        <v>0</v>
      </c>
      <c r="S64">
        <f t="shared" si="4"/>
        <v>0.949965446935501</v>
      </c>
      <c r="T64">
        <f t="shared" si="5"/>
        <v>-0.0513296666958563</v>
      </c>
    </row>
    <row r="65" spans="1:20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</v>
      </c>
      <c r="K65">
        <v>2</v>
      </c>
      <c r="L65">
        <v>1</v>
      </c>
      <c r="M65">
        <v>6</v>
      </c>
      <c r="N65">
        <v>1</v>
      </c>
      <c r="O65">
        <f>SUMPRODUCT(A$4:M$4,A65:M65)+N$4</f>
        <v>0.581770762054814</v>
      </c>
      <c r="P65">
        <f t="shared" si="1"/>
        <v>0.641474756799092</v>
      </c>
      <c r="Q65">
        <f t="shared" si="2"/>
        <v>1</v>
      </c>
      <c r="R65">
        <f t="shared" si="3"/>
        <v>0</v>
      </c>
      <c r="S65">
        <f t="shared" si="4"/>
        <v>0.641474756799092</v>
      </c>
      <c r="T65">
        <f t="shared" si="5"/>
        <v>-0.443985445974901</v>
      </c>
    </row>
    <row r="66" spans="1:20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>SUMPRODUCT(A$4:M$4,A66:M66)+N$4</f>
        <v>-2.70752051509668</v>
      </c>
      <c r="P66">
        <f t="shared" si="1"/>
        <v>0.0625310434826034</v>
      </c>
      <c r="Q66">
        <f t="shared" si="2"/>
        <v>0</v>
      </c>
      <c r="R66">
        <f t="shared" si="3"/>
        <v>0</v>
      </c>
      <c r="S66">
        <f t="shared" si="4"/>
        <v>0.937468956517397</v>
      </c>
      <c r="T66">
        <f t="shared" si="5"/>
        <v>-0.0645716347339306</v>
      </c>
    </row>
    <row r="67" spans="1:20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</v>
      </c>
      <c r="K67">
        <v>3</v>
      </c>
      <c r="L67">
        <v>3</v>
      </c>
      <c r="M67">
        <v>6</v>
      </c>
      <c r="N67">
        <v>1</v>
      </c>
      <c r="O67">
        <f>SUMPRODUCT(A$4:M$4,A67:M67)+N$4</f>
        <v>6.0818625563831</v>
      </c>
      <c r="P67">
        <f t="shared" si="1"/>
        <v>0.997721285637081</v>
      </c>
      <c r="Q67">
        <f t="shared" si="2"/>
        <v>1</v>
      </c>
      <c r="R67">
        <f t="shared" si="3"/>
        <v>0</v>
      </c>
      <c r="S67">
        <f t="shared" si="4"/>
        <v>0.997721285637081</v>
      </c>
      <c r="T67">
        <f t="shared" si="5"/>
        <v>-0.00228131458335003</v>
      </c>
    </row>
    <row r="68" spans="1:20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>SUMPRODUCT(A$4:M$4,A68:M68)+N$4</f>
        <v>0.921615904673223</v>
      </c>
      <c r="P68">
        <f t="shared" si="1"/>
        <v>0.715371242973506</v>
      </c>
      <c r="Q68">
        <f t="shared" si="2"/>
        <v>1</v>
      </c>
      <c r="R68">
        <f t="shared" si="3"/>
        <v>0</v>
      </c>
      <c r="S68">
        <f t="shared" si="4"/>
        <v>0.715371242973506</v>
      </c>
      <c r="T68">
        <f t="shared" si="5"/>
        <v>-0.334953650094715</v>
      </c>
    </row>
    <row r="69" spans="1:20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>SUMPRODUCT(A$4:M$4,A69:M69)+N$4</f>
        <v>3.64396323599877</v>
      </c>
      <c r="P69">
        <f t="shared" si="1"/>
        <v>0.974517815412422</v>
      </c>
      <c r="Q69">
        <f t="shared" si="2"/>
        <v>1</v>
      </c>
      <c r="R69">
        <f t="shared" si="3"/>
        <v>0</v>
      </c>
      <c r="S69">
        <f t="shared" si="4"/>
        <v>0.974517815412422</v>
      </c>
      <c r="T69">
        <f t="shared" si="5"/>
        <v>-0.0258124786085827</v>
      </c>
    </row>
    <row r="70" spans="1:20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>SUMPRODUCT(A$4:M$4,A70:M70)+N$4</f>
        <v>-2.24565575151189</v>
      </c>
      <c r="P70">
        <f t="shared" ref="P70:P133" si="6">1/(1+EXP(0-O70))</f>
        <v>0.0957248501441217</v>
      </c>
      <c r="Q70">
        <f t="shared" ref="Q70:Q133" si="7">IF(P70&lt;=0.5,0,1)</f>
        <v>0</v>
      </c>
      <c r="R70">
        <f t="shared" ref="R70:R133" si="8">IF(N70=Q70,0,1)</f>
        <v>1</v>
      </c>
      <c r="S70">
        <f t="shared" ref="S70:S133" si="9">IF(N70=1,P70,1-P70)</f>
        <v>0.0957248501441217</v>
      </c>
      <c r="T70">
        <f t="shared" ref="T70:T133" si="10">IF(S70=0,-100000,LN(S70))</f>
        <v>-2.34627734710319</v>
      </c>
    </row>
    <row r="71" spans="1:20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>SUMPRODUCT(A$4:M$4,A71:M71)+N$4</f>
        <v>-4.27613233135068</v>
      </c>
      <c r="P71">
        <f t="shared" si="6"/>
        <v>0.0137058440026293</v>
      </c>
      <c r="Q71">
        <f t="shared" si="7"/>
        <v>0</v>
      </c>
      <c r="R71">
        <f t="shared" si="8"/>
        <v>0</v>
      </c>
      <c r="S71">
        <f t="shared" si="9"/>
        <v>0.986294155997371</v>
      </c>
      <c r="T71">
        <f t="shared" si="10"/>
        <v>-0.0138006362173051</v>
      </c>
    </row>
    <row r="72" spans="1:20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>SUMPRODUCT(A$4:M$4,A72:M72)+N$4</f>
        <v>3.12942469630012</v>
      </c>
      <c r="P72">
        <f t="shared" si="6"/>
        <v>0.958090298699593</v>
      </c>
      <c r="Q72">
        <f t="shared" si="7"/>
        <v>1</v>
      </c>
      <c r="R72">
        <f t="shared" si="8"/>
        <v>0</v>
      </c>
      <c r="S72">
        <f t="shared" si="9"/>
        <v>0.958090298699593</v>
      </c>
      <c r="T72">
        <f t="shared" si="10"/>
        <v>-0.0428132479380041</v>
      </c>
    </row>
    <row r="73" spans="1:20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>SUMPRODUCT(A$4:M$4,A73:M73)+N$4</f>
        <v>-2.42712806883854</v>
      </c>
      <c r="P73">
        <f t="shared" si="6"/>
        <v>0.0811272998404503</v>
      </c>
      <c r="Q73">
        <f t="shared" si="7"/>
        <v>0</v>
      </c>
      <c r="R73">
        <f t="shared" si="8"/>
        <v>0</v>
      </c>
      <c r="S73">
        <f t="shared" si="9"/>
        <v>0.91887270015955</v>
      </c>
      <c r="T73">
        <f t="shared" si="10"/>
        <v>-0.0846076861781897</v>
      </c>
    </row>
    <row r="74" spans="1:20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>SUMPRODUCT(A$4:M$4,A74:M74)+N$4</f>
        <v>-1.49110295387385</v>
      </c>
      <c r="P74">
        <f t="shared" si="6"/>
        <v>0.183756237790778</v>
      </c>
      <c r="Q74">
        <f t="shared" si="7"/>
        <v>0</v>
      </c>
      <c r="R74">
        <f t="shared" si="8"/>
        <v>0</v>
      </c>
      <c r="S74">
        <f t="shared" si="9"/>
        <v>0.816243762209222</v>
      </c>
      <c r="T74">
        <f t="shared" si="10"/>
        <v>-0.203042240430838</v>
      </c>
    </row>
    <row r="75" spans="1:20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>SUMPRODUCT(A$4:M$4,A75:M75)+N$4</f>
        <v>-3.17492352605285</v>
      </c>
      <c r="P75">
        <f t="shared" si="6"/>
        <v>0.0401203769221781</v>
      </c>
      <c r="Q75">
        <f t="shared" si="7"/>
        <v>0</v>
      </c>
      <c r="R75">
        <f t="shared" si="8"/>
        <v>0</v>
      </c>
      <c r="S75">
        <f t="shared" si="9"/>
        <v>0.959879623077822</v>
      </c>
      <c r="T75">
        <f t="shared" si="10"/>
        <v>-0.0409473950098367</v>
      </c>
    </row>
    <row r="76" spans="1:20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>SUMPRODUCT(A$4:M$4,A76:M76)+N$4</f>
        <v>-4.63855867875284</v>
      </c>
      <c r="P76">
        <f t="shared" si="6"/>
        <v>0.00957898315167777</v>
      </c>
      <c r="Q76">
        <f t="shared" si="7"/>
        <v>0</v>
      </c>
      <c r="R76">
        <f t="shared" si="8"/>
        <v>0</v>
      </c>
      <c r="S76">
        <f t="shared" si="9"/>
        <v>0.990421016848322</v>
      </c>
      <c r="T76">
        <f t="shared" si="10"/>
        <v>-0.00962515671120501</v>
      </c>
    </row>
    <row r="77" spans="1:20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>SUMPRODUCT(A$4:M$4,A77:M77)+N$4</f>
        <v>-2.23865090845909</v>
      </c>
      <c r="P77">
        <f t="shared" si="6"/>
        <v>0.0963329200861372</v>
      </c>
      <c r="Q77">
        <f t="shared" si="7"/>
        <v>0</v>
      </c>
      <c r="R77">
        <f t="shared" si="8"/>
        <v>1</v>
      </c>
      <c r="S77">
        <f t="shared" si="9"/>
        <v>0.0963329200861372</v>
      </c>
      <c r="T77">
        <f t="shared" si="10"/>
        <v>-2.3399451693103</v>
      </c>
    </row>
    <row r="78" spans="1:20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>SUMPRODUCT(A$4:M$4,A78:M78)+N$4</f>
        <v>2.02876404189131</v>
      </c>
      <c r="P78">
        <f t="shared" si="6"/>
        <v>0.883784193255872</v>
      </c>
      <c r="Q78">
        <f t="shared" si="7"/>
        <v>1</v>
      </c>
      <c r="R78">
        <f t="shared" si="8"/>
        <v>0</v>
      </c>
      <c r="S78">
        <f t="shared" si="9"/>
        <v>0.883784193255872</v>
      </c>
      <c r="T78">
        <f t="shared" si="10"/>
        <v>-0.123542371424083</v>
      </c>
    </row>
    <row r="79" spans="1:20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>SUMPRODUCT(A$4:M$4,A79:M79)+N$4</f>
        <v>1.98951074611066</v>
      </c>
      <c r="P79">
        <f t="shared" si="6"/>
        <v>0.879691367226471</v>
      </c>
      <c r="Q79">
        <f t="shared" si="7"/>
        <v>1</v>
      </c>
      <c r="R79">
        <f t="shared" si="8"/>
        <v>0</v>
      </c>
      <c r="S79">
        <f t="shared" si="9"/>
        <v>0.879691367226471</v>
      </c>
      <c r="T79">
        <f t="shared" si="10"/>
        <v>-0.128184152087027</v>
      </c>
    </row>
    <row r="80" spans="1:20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>SUMPRODUCT(A$4:M$4,A80:M80)+N$4</f>
        <v>2.00894384839324</v>
      </c>
      <c r="P80">
        <f t="shared" si="6"/>
        <v>0.88173293112902</v>
      </c>
      <c r="Q80">
        <f t="shared" si="7"/>
        <v>1</v>
      </c>
      <c r="R80">
        <f t="shared" si="8"/>
        <v>0</v>
      </c>
      <c r="S80">
        <f t="shared" si="9"/>
        <v>0.88173293112902</v>
      </c>
      <c r="T80">
        <f t="shared" si="10"/>
        <v>-0.125866068001718</v>
      </c>
    </row>
    <row r="81" spans="1:20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>SUMPRODUCT(A$4:M$4,A81:M81)+N$4</f>
        <v>0.175722392677029</v>
      </c>
      <c r="P81">
        <f t="shared" si="6"/>
        <v>0.543817904071187</v>
      </c>
      <c r="Q81">
        <f t="shared" si="7"/>
        <v>1</v>
      </c>
      <c r="R81">
        <f t="shared" si="8"/>
        <v>1</v>
      </c>
      <c r="S81">
        <f t="shared" si="9"/>
        <v>0.456182095928813</v>
      </c>
      <c r="T81">
        <f t="shared" si="10"/>
        <v>-0.784863216002803</v>
      </c>
    </row>
    <row r="82" spans="1:20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>SUMPRODUCT(A$4:M$4,A82:M82)+N$4</f>
        <v>-2.38707802488359</v>
      </c>
      <c r="P82">
        <f t="shared" si="6"/>
        <v>0.0841633839816973</v>
      </c>
      <c r="Q82">
        <f t="shared" si="7"/>
        <v>0</v>
      </c>
      <c r="R82">
        <f t="shared" si="8"/>
        <v>0</v>
      </c>
      <c r="S82">
        <f t="shared" si="9"/>
        <v>0.915836616018303</v>
      </c>
      <c r="T82">
        <f t="shared" si="10"/>
        <v>-0.0879172970095009</v>
      </c>
    </row>
    <row r="83" spans="1:20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>SUMPRODUCT(A$4:M$4,A83:M83)+N$4</f>
        <v>5.4359682590472</v>
      </c>
      <c r="P83">
        <f t="shared" si="6"/>
        <v>0.99566188696076</v>
      </c>
      <c r="Q83">
        <f t="shared" si="7"/>
        <v>1</v>
      </c>
      <c r="R83">
        <f t="shared" si="8"/>
        <v>0</v>
      </c>
      <c r="S83">
        <f t="shared" si="9"/>
        <v>0.99566188696076</v>
      </c>
      <c r="T83">
        <f t="shared" si="10"/>
        <v>-0.00434754995376759</v>
      </c>
    </row>
    <row r="84" spans="1:20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>SUMPRODUCT(A$4:M$4,A84:M84)+N$4</f>
        <v>-2.73453609001823</v>
      </c>
      <c r="P84">
        <f t="shared" si="6"/>
        <v>0.0609659579525425</v>
      </c>
      <c r="Q84">
        <f t="shared" si="7"/>
        <v>0</v>
      </c>
      <c r="R84">
        <f t="shared" si="8"/>
        <v>0</v>
      </c>
      <c r="S84">
        <f t="shared" si="9"/>
        <v>0.939034042047458</v>
      </c>
      <c r="T84">
        <f t="shared" si="10"/>
        <v>-0.0629035469193474</v>
      </c>
    </row>
    <row r="85" spans="1:20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>SUMPRODUCT(A$4:M$4,A85:M85)+N$4</f>
        <v>-1.56426879985768</v>
      </c>
      <c r="P85">
        <f t="shared" si="6"/>
        <v>0.173034955133168</v>
      </c>
      <c r="Q85">
        <f t="shared" si="7"/>
        <v>0</v>
      </c>
      <c r="R85">
        <f t="shared" si="8"/>
        <v>0</v>
      </c>
      <c r="S85">
        <f t="shared" si="9"/>
        <v>0.826965044866832</v>
      </c>
      <c r="T85">
        <f t="shared" si="10"/>
        <v>-0.189992852243718</v>
      </c>
    </row>
    <row r="86" spans="1:20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>SUMPRODUCT(A$4:M$4,A86:M86)+N$4</f>
        <v>1.89815385760568</v>
      </c>
      <c r="P86">
        <f t="shared" si="6"/>
        <v>0.869682436040043</v>
      </c>
      <c r="Q86">
        <f t="shared" si="7"/>
        <v>1</v>
      </c>
      <c r="R86">
        <f t="shared" si="8"/>
        <v>0</v>
      </c>
      <c r="S86">
        <f t="shared" si="9"/>
        <v>0.869682436040043</v>
      </c>
      <c r="T86">
        <f t="shared" si="10"/>
        <v>-0.139627150014007</v>
      </c>
    </row>
    <row r="87" spans="1:20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</v>
      </c>
      <c r="K87">
        <v>2</v>
      </c>
      <c r="L87">
        <v>1</v>
      </c>
      <c r="M87">
        <v>7</v>
      </c>
      <c r="N87">
        <v>1</v>
      </c>
      <c r="O87">
        <f>SUMPRODUCT(A$4:M$4,A87:M87)+N$4</f>
        <v>4.06548338180469</v>
      </c>
      <c r="P87">
        <f t="shared" si="6"/>
        <v>0.983134625356415</v>
      </c>
      <c r="Q87">
        <f t="shared" si="7"/>
        <v>1</v>
      </c>
      <c r="R87">
        <f t="shared" si="8"/>
        <v>0</v>
      </c>
      <c r="S87">
        <f t="shared" si="9"/>
        <v>0.983134625356415</v>
      </c>
      <c r="T87">
        <f t="shared" si="10"/>
        <v>-0.0170092146451996</v>
      </c>
    </row>
    <row r="88" spans="1:20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>SUMPRODUCT(A$4:M$4,A88:M88)+N$4</f>
        <v>0.980775279808739</v>
      </c>
      <c r="P88">
        <f t="shared" si="6"/>
        <v>0.727262021712717</v>
      </c>
      <c r="Q88">
        <f t="shared" si="7"/>
        <v>1</v>
      </c>
      <c r="R88">
        <f t="shared" si="8"/>
        <v>0</v>
      </c>
      <c r="S88">
        <f t="shared" si="9"/>
        <v>0.727262021712717</v>
      </c>
      <c r="T88">
        <f t="shared" si="10"/>
        <v>-0.318468451371891</v>
      </c>
    </row>
    <row r="89" spans="1:20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>SUMPRODUCT(A$4:M$4,A89:M89)+N$4</f>
        <v>0.902646797042827</v>
      </c>
      <c r="P89">
        <f t="shared" si="6"/>
        <v>0.711493116391826</v>
      </c>
      <c r="Q89">
        <f t="shared" si="7"/>
        <v>1</v>
      </c>
      <c r="R89">
        <f t="shared" si="8"/>
        <v>1</v>
      </c>
      <c r="S89">
        <f t="shared" si="9"/>
        <v>0.288506883608174</v>
      </c>
      <c r="T89">
        <f t="shared" si="10"/>
        <v>-1.24303633332496</v>
      </c>
    </row>
    <row r="90" spans="1:20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>SUMPRODUCT(A$4:M$4,A90:M90)+N$4</f>
        <v>-0.674346487831784</v>
      </c>
      <c r="P90">
        <f t="shared" si="6"/>
        <v>0.337524273702189</v>
      </c>
      <c r="Q90">
        <f t="shared" si="7"/>
        <v>0</v>
      </c>
      <c r="R90">
        <f t="shared" si="8"/>
        <v>1</v>
      </c>
      <c r="S90">
        <f t="shared" si="9"/>
        <v>0.337524273702189</v>
      </c>
      <c r="T90">
        <f t="shared" si="10"/>
        <v>-1.08611784917526</v>
      </c>
    </row>
    <row r="91" spans="1:20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>SUMPRODUCT(A$4:M$4,A91:M91)+N$4</f>
        <v>-0.356246828536554</v>
      </c>
      <c r="P91">
        <f t="shared" si="6"/>
        <v>0.411868405570167</v>
      </c>
      <c r="Q91">
        <f t="shared" si="7"/>
        <v>0</v>
      </c>
      <c r="R91">
        <f t="shared" si="8"/>
        <v>0</v>
      </c>
      <c r="S91">
        <f t="shared" si="9"/>
        <v>0.588131594429833</v>
      </c>
      <c r="T91">
        <f t="shared" si="10"/>
        <v>-0.53080455607227</v>
      </c>
    </row>
    <row r="92" spans="1:20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>SUMPRODUCT(A$4:M$4,A92:M92)+N$4</f>
        <v>-0.701966550279552</v>
      </c>
      <c r="P92">
        <f t="shared" si="6"/>
        <v>0.33137636262164</v>
      </c>
      <c r="Q92">
        <f t="shared" si="7"/>
        <v>0</v>
      </c>
      <c r="R92">
        <f t="shared" si="8"/>
        <v>0</v>
      </c>
      <c r="S92">
        <f t="shared" si="9"/>
        <v>0.66862363737836</v>
      </c>
      <c r="T92">
        <f t="shared" si="10"/>
        <v>-0.402533952078793</v>
      </c>
    </row>
    <row r="93" spans="1:20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>SUMPRODUCT(A$4:M$4,A93:M93)+N$4</f>
        <v>-2.69807964663687</v>
      </c>
      <c r="P93">
        <f t="shared" si="6"/>
        <v>0.0630867668607794</v>
      </c>
      <c r="Q93">
        <f t="shared" si="7"/>
        <v>0</v>
      </c>
      <c r="R93">
        <f t="shared" si="8"/>
        <v>0</v>
      </c>
      <c r="S93">
        <f t="shared" si="9"/>
        <v>0.936913233139221</v>
      </c>
      <c r="T93">
        <f t="shared" si="10"/>
        <v>-0.0651646017366323</v>
      </c>
    </row>
    <row r="94" spans="1:20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>SUMPRODUCT(A$4:M$4,A94:M94)+N$4</f>
        <v>-2.21274741662547</v>
      </c>
      <c r="P94">
        <f t="shared" si="6"/>
        <v>0.0986115931494601</v>
      </c>
      <c r="Q94">
        <f t="shared" si="7"/>
        <v>0</v>
      </c>
      <c r="R94">
        <f t="shared" si="8"/>
        <v>0</v>
      </c>
      <c r="S94">
        <f t="shared" si="9"/>
        <v>0.90138840685054</v>
      </c>
      <c r="T94">
        <f t="shared" si="10"/>
        <v>-0.103819030079053</v>
      </c>
    </row>
    <row r="95" spans="1:20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>SUMPRODUCT(A$4:M$4,A95:M95)+N$4</f>
        <v>-4.02275354402398</v>
      </c>
      <c r="P95">
        <f t="shared" si="6"/>
        <v>0.0175886976734345</v>
      </c>
      <c r="Q95">
        <f t="shared" si="7"/>
        <v>0</v>
      </c>
      <c r="R95">
        <f t="shared" si="8"/>
        <v>0</v>
      </c>
      <c r="S95">
        <f t="shared" si="9"/>
        <v>0.982411302326565</v>
      </c>
      <c r="T95">
        <f t="shared" si="10"/>
        <v>-0.0177452168441955</v>
      </c>
    </row>
    <row r="96" spans="1:20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>SUMPRODUCT(A$4:M$4,A96:M96)+N$4</f>
        <v>-2.43806603512085</v>
      </c>
      <c r="P96">
        <f t="shared" si="6"/>
        <v>0.0803156486788758</v>
      </c>
      <c r="Q96">
        <f t="shared" si="7"/>
        <v>0</v>
      </c>
      <c r="R96">
        <f t="shared" si="8"/>
        <v>0</v>
      </c>
      <c r="S96">
        <f t="shared" si="9"/>
        <v>0.919684351321124</v>
      </c>
      <c r="T96">
        <f t="shared" si="10"/>
        <v>-0.0837247642001658</v>
      </c>
    </row>
    <row r="97" spans="1:20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>SUMPRODUCT(A$4:M$4,A97:M97)+N$4</f>
        <v>2.58872734696927</v>
      </c>
      <c r="P97">
        <f t="shared" si="6"/>
        <v>0.930132557775198</v>
      </c>
      <c r="Q97">
        <f t="shared" si="7"/>
        <v>1</v>
      </c>
      <c r="R97">
        <f t="shared" si="8"/>
        <v>0</v>
      </c>
      <c r="S97">
        <f t="shared" si="9"/>
        <v>0.930132557775198</v>
      </c>
      <c r="T97">
        <f t="shared" si="10"/>
        <v>-0.0724281677498698</v>
      </c>
    </row>
    <row r="98" spans="1:20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>SUMPRODUCT(A$4:M$4,A98:M98)+N$4</f>
        <v>-2.05860211150349</v>
      </c>
      <c r="P98">
        <f t="shared" si="6"/>
        <v>0.11318606725169</v>
      </c>
      <c r="Q98">
        <f t="shared" si="7"/>
        <v>0</v>
      </c>
      <c r="R98">
        <f t="shared" si="8"/>
        <v>0</v>
      </c>
      <c r="S98">
        <f t="shared" si="9"/>
        <v>0.88681393274831</v>
      </c>
      <c r="T98">
        <f t="shared" si="10"/>
        <v>-0.120120090100084</v>
      </c>
    </row>
    <row r="99" spans="1:20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>SUMPRODUCT(A$4:M$4,A99:M99)+N$4</f>
        <v>-2.54691605991106</v>
      </c>
      <c r="P99">
        <f t="shared" si="6"/>
        <v>0.0726339405884484</v>
      </c>
      <c r="Q99">
        <f t="shared" si="7"/>
        <v>0</v>
      </c>
      <c r="R99">
        <f t="shared" si="8"/>
        <v>0</v>
      </c>
      <c r="S99">
        <f t="shared" si="9"/>
        <v>0.927366059411552</v>
      </c>
      <c r="T99">
        <f t="shared" si="10"/>
        <v>-0.0754069052666734</v>
      </c>
    </row>
    <row r="100" spans="1:20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>SUMPRODUCT(A$4:M$4,A100:M100)+N$4</f>
        <v>1.33471311715945</v>
      </c>
      <c r="P100">
        <f t="shared" si="6"/>
        <v>0.791619170995027</v>
      </c>
      <c r="Q100">
        <f t="shared" si="7"/>
        <v>1</v>
      </c>
      <c r="R100">
        <f t="shared" si="8"/>
        <v>0</v>
      </c>
      <c r="S100">
        <f t="shared" si="9"/>
        <v>0.791619170995027</v>
      </c>
      <c r="T100">
        <f t="shared" si="10"/>
        <v>-0.233674847513846</v>
      </c>
    </row>
    <row r="101" spans="1:20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>SUMPRODUCT(A$4:M$4,A101:M101)+N$4</f>
        <v>1.2278876668255</v>
      </c>
      <c r="P101">
        <f t="shared" si="6"/>
        <v>0.773448652736246</v>
      </c>
      <c r="Q101">
        <f t="shared" si="7"/>
        <v>1</v>
      </c>
      <c r="R101">
        <f t="shared" si="8"/>
        <v>0</v>
      </c>
      <c r="S101">
        <f t="shared" si="9"/>
        <v>0.773448652736246</v>
      </c>
      <c r="T101">
        <f t="shared" si="10"/>
        <v>-0.256895994189602</v>
      </c>
    </row>
    <row r="102" spans="1:20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>SUMPRODUCT(A$4:M$4,A102:M102)+N$4</f>
        <v>1.35701743840801</v>
      </c>
      <c r="P102">
        <f t="shared" si="6"/>
        <v>0.795274525689474</v>
      </c>
      <c r="Q102">
        <f t="shared" si="7"/>
        <v>1</v>
      </c>
      <c r="R102">
        <f t="shared" si="8"/>
        <v>0</v>
      </c>
      <c r="S102">
        <f t="shared" si="9"/>
        <v>0.795274525689474</v>
      </c>
      <c r="T102">
        <f t="shared" si="10"/>
        <v>-0.229067908602751</v>
      </c>
    </row>
    <row r="103" spans="1:20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>SUMPRODUCT(A$4:M$4,A103:M103)+N$4</f>
        <v>-2.83729609136174</v>
      </c>
      <c r="P103">
        <f t="shared" si="6"/>
        <v>0.0553417256357719</v>
      </c>
      <c r="Q103">
        <f t="shared" si="7"/>
        <v>0</v>
      </c>
      <c r="R103">
        <f t="shared" si="8"/>
        <v>0</v>
      </c>
      <c r="S103">
        <f t="shared" si="9"/>
        <v>0.944658274364228</v>
      </c>
      <c r="T103">
        <f t="shared" si="10"/>
        <v>-0.0569320313160468</v>
      </c>
    </row>
    <row r="104" spans="1:20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>SUMPRODUCT(A$4:M$4,A104:M104)+N$4</f>
        <v>-1.62351246813364</v>
      </c>
      <c r="P104">
        <f t="shared" si="6"/>
        <v>0.164721027384808</v>
      </c>
      <c r="Q104">
        <f t="shared" si="7"/>
        <v>0</v>
      </c>
      <c r="R104">
        <f t="shared" si="8"/>
        <v>0</v>
      </c>
      <c r="S104">
        <f t="shared" si="9"/>
        <v>0.835278972615192</v>
      </c>
      <c r="T104">
        <f t="shared" si="10"/>
        <v>-0.179989510989555</v>
      </c>
    </row>
    <row r="105" spans="1:20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>SUMPRODUCT(A$4:M$4,A105:M105)+N$4</f>
        <v>4.13351856624986</v>
      </c>
      <c r="P105">
        <f t="shared" si="6"/>
        <v>0.9842264042046</v>
      </c>
      <c r="Q105">
        <f t="shared" si="7"/>
        <v>1</v>
      </c>
      <c r="R105">
        <f t="shared" si="8"/>
        <v>0</v>
      </c>
      <c r="S105">
        <f t="shared" si="9"/>
        <v>0.9842264042046</v>
      </c>
      <c r="T105">
        <f t="shared" si="10"/>
        <v>-0.0158993228217289</v>
      </c>
    </row>
    <row r="106" spans="1:20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>SUMPRODUCT(A$4:M$4,A106:M106)+N$4</f>
        <v>7.2046320023958</v>
      </c>
      <c r="P106">
        <f t="shared" si="6"/>
        <v>0.999257416222517</v>
      </c>
      <c r="Q106">
        <f t="shared" si="7"/>
        <v>1</v>
      </c>
      <c r="R106">
        <f t="shared" si="8"/>
        <v>0</v>
      </c>
      <c r="S106">
        <f t="shared" si="9"/>
        <v>0.999257416222517</v>
      </c>
      <c r="T106">
        <f t="shared" si="10"/>
        <v>-0.000742859629386996</v>
      </c>
    </row>
    <row r="107" spans="1:20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>SUMPRODUCT(A$4:M$4,A107:M107)+N$4</f>
        <v>2.86664298452862</v>
      </c>
      <c r="P107">
        <f t="shared" si="6"/>
        <v>0.946172631112621</v>
      </c>
      <c r="Q107">
        <f t="shared" si="7"/>
        <v>1</v>
      </c>
      <c r="R107">
        <f t="shared" si="8"/>
        <v>0</v>
      </c>
      <c r="S107">
        <f t="shared" si="9"/>
        <v>0.946172631112621</v>
      </c>
      <c r="T107">
        <f t="shared" si="10"/>
        <v>-0.0553302412587842</v>
      </c>
    </row>
    <row r="108" spans="1:20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>SUMPRODUCT(A$4:M$4,A108:M108)+N$4</f>
        <v>1.43491419134431</v>
      </c>
      <c r="P108">
        <f t="shared" si="6"/>
        <v>0.807665849110065</v>
      </c>
      <c r="Q108">
        <f t="shared" si="7"/>
        <v>1</v>
      </c>
      <c r="R108">
        <f t="shared" si="8"/>
        <v>0</v>
      </c>
      <c r="S108">
        <f t="shared" si="9"/>
        <v>0.807665849110065</v>
      </c>
      <c r="T108">
        <f t="shared" si="10"/>
        <v>-0.213606859079304</v>
      </c>
    </row>
    <row r="109" spans="1:20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>SUMPRODUCT(A$4:M$4,A109:M109)+N$4</f>
        <v>-0.179981028637668</v>
      </c>
      <c r="P109">
        <f t="shared" si="6"/>
        <v>0.455125812260503</v>
      </c>
      <c r="Q109">
        <f t="shared" si="7"/>
        <v>0</v>
      </c>
      <c r="R109">
        <f t="shared" si="8"/>
        <v>0</v>
      </c>
      <c r="S109">
        <f t="shared" si="9"/>
        <v>0.544874187739497</v>
      </c>
      <c r="T109">
        <f t="shared" si="10"/>
        <v>-0.607200359152846</v>
      </c>
    </row>
    <row r="110" spans="1:20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>SUMPRODUCT(A$4:M$4,A110:M110)+N$4</f>
        <v>-3.26405917330696</v>
      </c>
      <c r="P110">
        <f t="shared" si="6"/>
        <v>0.0368249639427592</v>
      </c>
      <c r="Q110">
        <f t="shared" si="7"/>
        <v>0</v>
      </c>
      <c r="R110">
        <f t="shared" si="8"/>
        <v>0</v>
      </c>
      <c r="S110">
        <f t="shared" si="9"/>
        <v>0.963175036057241</v>
      </c>
      <c r="T110">
        <f t="shared" si="10"/>
        <v>-0.0375201224781088</v>
      </c>
    </row>
    <row r="111" spans="1:20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>SUMPRODUCT(A$4:M$4,A111:M111)+N$4</f>
        <v>-0.306587790529042</v>
      </c>
      <c r="P111">
        <f t="shared" si="6"/>
        <v>0.423947838247971</v>
      </c>
      <c r="Q111">
        <f t="shared" si="7"/>
        <v>0</v>
      </c>
      <c r="R111">
        <f t="shared" si="8"/>
        <v>0</v>
      </c>
      <c r="S111">
        <f t="shared" si="9"/>
        <v>0.576052161752029</v>
      </c>
      <c r="T111">
        <f t="shared" si="10"/>
        <v>-0.551557063789156</v>
      </c>
    </row>
    <row r="112" spans="1:20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>SUMPRODUCT(A$4:M$4,A112:M112)+N$4</f>
        <v>-1.57198723494442</v>
      </c>
      <c r="P112">
        <f t="shared" si="6"/>
        <v>0.171933280188398</v>
      </c>
      <c r="Q112">
        <f t="shared" si="7"/>
        <v>0</v>
      </c>
      <c r="R112">
        <f t="shared" si="8"/>
        <v>0</v>
      </c>
      <c r="S112">
        <f t="shared" si="9"/>
        <v>0.828066719811602</v>
      </c>
      <c r="T112">
        <f t="shared" si="10"/>
        <v>-0.188661548360618</v>
      </c>
    </row>
    <row r="113" spans="1:20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>SUMPRODUCT(A$4:M$4,A113:M113)+N$4</f>
        <v>-2.33216215187872</v>
      </c>
      <c r="P113">
        <f t="shared" si="6"/>
        <v>0.0884941025764625</v>
      </c>
      <c r="Q113">
        <f t="shared" si="7"/>
        <v>0</v>
      </c>
      <c r="R113">
        <f t="shared" si="8"/>
        <v>0</v>
      </c>
      <c r="S113">
        <f t="shared" si="9"/>
        <v>0.911505897423537</v>
      </c>
      <c r="T113">
        <f t="shared" si="10"/>
        <v>-0.0926572148640125</v>
      </c>
    </row>
    <row r="114" spans="1:20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>SUMPRODUCT(A$4:M$4,A114:M114)+N$4</f>
        <v>0.627376383146325</v>
      </c>
      <c r="P114">
        <f t="shared" si="6"/>
        <v>0.651894327280102</v>
      </c>
      <c r="Q114">
        <f t="shared" si="7"/>
        <v>1</v>
      </c>
      <c r="R114">
        <f t="shared" si="8"/>
        <v>0</v>
      </c>
      <c r="S114">
        <f t="shared" si="9"/>
        <v>0.651894327280102</v>
      </c>
      <c r="T114">
        <f t="shared" si="10"/>
        <v>-0.427872804914781</v>
      </c>
    </row>
    <row r="115" spans="1:20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>SUMPRODUCT(A$4:M$4,A115:M115)+N$4</f>
        <v>-3.98150821011209</v>
      </c>
      <c r="P115">
        <f t="shared" si="6"/>
        <v>0.0183157529384558</v>
      </c>
      <c r="Q115">
        <f t="shared" si="7"/>
        <v>0</v>
      </c>
      <c r="R115">
        <f t="shared" si="8"/>
        <v>0</v>
      </c>
      <c r="S115">
        <f t="shared" si="9"/>
        <v>0.981684247061544</v>
      </c>
      <c r="T115">
        <f t="shared" si="10"/>
        <v>-0.0184855630034818</v>
      </c>
    </row>
    <row r="116" spans="1:20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>SUMPRODUCT(A$4:M$4,A116:M116)+N$4</f>
        <v>0.291935351259662</v>
      </c>
      <c r="P116">
        <f t="shared" si="6"/>
        <v>0.572469872805446</v>
      </c>
      <c r="Q116">
        <f t="shared" si="7"/>
        <v>1</v>
      </c>
      <c r="R116">
        <f t="shared" si="8"/>
        <v>0</v>
      </c>
      <c r="S116">
        <f t="shared" si="9"/>
        <v>0.572469872805446</v>
      </c>
      <c r="T116">
        <f t="shared" si="10"/>
        <v>-0.557795168859047</v>
      </c>
    </row>
    <row r="117" spans="1:20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>SUMPRODUCT(A$4:M$4,A117:M117)+N$4</f>
        <v>-0.711257672931477</v>
      </c>
      <c r="P117">
        <f t="shared" si="6"/>
        <v>0.329321000028091</v>
      </c>
      <c r="Q117">
        <f t="shared" si="7"/>
        <v>0</v>
      </c>
      <c r="R117">
        <f t="shared" si="8"/>
        <v>0</v>
      </c>
      <c r="S117">
        <f t="shared" si="9"/>
        <v>0.670678999971909</v>
      </c>
      <c r="T117">
        <f t="shared" si="10"/>
        <v>-0.399464646979561</v>
      </c>
    </row>
    <row r="118" spans="1:20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>SUMPRODUCT(A$4:M$4,A118:M118)+N$4</f>
        <v>4.31182040208054</v>
      </c>
      <c r="P118">
        <f t="shared" si="6"/>
        <v>0.98676830793442</v>
      </c>
      <c r="Q118">
        <f t="shared" si="7"/>
        <v>1</v>
      </c>
      <c r="R118">
        <f t="shared" si="8"/>
        <v>0</v>
      </c>
      <c r="S118">
        <f t="shared" si="9"/>
        <v>0.98676830793442</v>
      </c>
      <c r="T118">
        <f t="shared" si="10"/>
        <v>-0.0133200108394015</v>
      </c>
    </row>
    <row r="119" spans="1:20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>SUMPRODUCT(A$4:M$4,A119:M119)+N$4</f>
        <v>3.84717750390225</v>
      </c>
      <c r="P119">
        <f t="shared" si="6"/>
        <v>0.97910599242869</v>
      </c>
      <c r="Q119">
        <f t="shared" si="7"/>
        <v>1</v>
      </c>
      <c r="R119">
        <f t="shared" si="8"/>
        <v>0</v>
      </c>
      <c r="S119">
        <f t="shared" si="9"/>
        <v>0.97910599242869</v>
      </c>
      <c r="T119">
        <f t="shared" si="10"/>
        <v>-0.0211153762969638</v>
      </c>
    </row>
    <row r="120" spans="1:20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>SUMPRODUCT(A$4:M$4,A120:M120)+N$4</f>
        <v>0.429935212094856</v>
      </c>
      <c r="P120">
        <f t="shared" si="6"/>
        <v>0.605858197572128</v>
      </c>
      <c r="Q120">
        <f t="shared" si="7"/>
        <v>1</v>
      </c>
      <c r="R120">
        <f t="shared" si="8"/>
        <v>0</v>
      </c>
      <c r="S120">
        <f t="shared" si="9"/>
        <v>0.605858197572128</v>
      </c>
      <c r="T120">
        <f t="shared" si="10"/>
        <v>-0.501109317700217</v>
      </c>
    </row>
    <row r="121" spans="1:20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>SUMPRODUCT(A$4:M$4,A121:M121)+N$4</f>
        <v>4.267871326722</v>
      </c>
      <c r="P121">
        <f t="shared" si="6"/>
        <v>0.98618203400004</v>
      </c>
      <c r="Q121">
        <f t="shared" si="7"/>
        <v>1</v>
      </c>
      <c r="R121">
        <f t="shared" si="8"/>
        <v>0</v>
      </c>
      <c r="S121">
        <f t="shared" si="9"/>
        <v>0.98618203400004</v>
      </c>
      <c r="T121">
        <f t="shared" si="10"/>
        <v>-0.0139143227581315</v>
      </c>
    </row>
    <row r="122" spans="1:20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>SUMPRODUCT(A$4:M$4,A122:M122)+N$4</f>
        <v>-0.778881475519354</v>
      </c>
      <c r="P122">
        <f t="shared" si="6"/>
        <v>0.314561003748317</v>
      </c>
      <c r="Q122">
        <f t="shared" si="7"/>
        <v>0</v>
      </c>
      <c r="R122">
        <f t="shared" si="8"/>
        <v>0</v>
      </c>
      <c r="S122">
        <f t="shared" si="9"/>
        <v>0.685438996251682</v>
      </c>
      <c r="T122">
        <f t="shared" si="10"/>
        <v>-0.377695775549264</v>
      </c>
    </row>
    <row r="123" spans="1:20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>SUMPRODUCT(A$4:M$4,A123:M123)+N$4</f>
        <v>2.81996518371759</v>
      </c>
      <c r="P123">
        <f t="shared" si="6"/>
        <v>0.943745218052638</v>
      </c>
      <c r="Q123">
        <f t="shared" si="7"/>
        <v>1</v>
      </c>
      <c r="R123">
        <f t="shared" si="8"/>
        <v>0</v>
      </c>
      <c r="S123">
        <f t="shared" si="9"/>
        <v>0.943745218052638</v>
      </c>
      <c r="T123">
        <f t="shared" si="10"/>
        <v>-0.0578990453958314</v>
      </c>
    </row>
    <row r="124" spans="1:20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>SUMPRODUCT(A$4:M$4,A124:M124)+N$4</f>
        <v>-0.951646575586116</v>
      </c>
      <c r="P124">
        <f t="shared" si="6"/>
        <v>0.278553802918804</v>
      </c>
      <c r="Q124">
        <f t="shared" si="7"/>
        <v>0</v>
      </c>
      <c r="R124">
        <f t="shared" si="8"/>
        <v>0</v>
      </c>
      <c r="S124">
        <f t="shared" si="9"/>
        <v>0.721446197081196</v>
      </c>
      <c r="T124">
        <f t="shared" si="10"/>
        <v>-0.326497474468795</v>
      </c>
    </row>
    <row r="125" spans="1:20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>SUMPRODUCT(A$4:M$4,A125:M125)+N$4</f>
        <v>-0.362517100091576</v>
      </c>
      <c r="P125">
        <f t="shared" si="6"/>
        <v>0.410350383842386</v>
      </c>
      <c r="Q125">
        <f t="shared" si="7"/>
        <v>0</v>
      </c>
      <c r="R125">
        <f t="shared" si="8"/>
        <v>0</v>
      </c>
      <c r="S125">
        <f t="shared" si="9"/>
        <v>0.589649616157614</v>
      </c>
      <c r="T125">
        <f t="shared" si="10"/>
        <v>-0.528226789412851</v>
      </c>
    </row>
    <row r="126" spans="1:20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</v>
      </c>
      <c r="K126">
        <v>1</v>
      </c>
      <c r="L126">
        <v>0</v>
      </c>
      <c r="M126">
        <v>3</v>
      </c>
      <c r="N126">
        <v>0</v>
      </c>
      <c r="O126">
        <f>SUMPRODUCT(A$4:M$4,A126:M126)+N$4</f>
        <v>-4.69554415588408</v>
      </c>
      <c r="P126">
        <f t="shared" si="6"/>
        <v>0.00905318571316093</v>
      </c>
      <c r="Q126">
        <f t="shared" si="7"/>
        <v>0</v>
      </c>
      <c r="R126">
        <f t="shared" si="8"/>
        <v>0</v>
      </c>
      <c r="S126">
        <f t="shared" si="9"/>
        <v>0.990946814286839</v>
      </c>
      <c r="T126">
        <f t="shared" si="10"/>
        <v>-0.00909441482411363</v>
      </c>
    </row>
    <row r="127" spans="1:20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>SUMPRODUCT(A$4:M$4,A127:M127)+N$4</f>
        <v>-2.4039577832365</v>
      </c>
      <c r="P127">
        <f t="shared" si="6"/>
        <v>0.0828713931939818</v>
      </c>
      <c r="Q127">
        <f t="shared" si="7"/>
        <v>0</v>
      </c>
      <c r="R127">
        <f t="shared" si="8"/>
        <v>1</v>
      </c>
      <c r="S127">
        <f t="shared" si="9"/>
        <v>0.0828713931939818</v>
      </c>
      <c r="T127">
        <f t="shared" si="10"/>
        <v>-2.4904653524611</v>
      </c>
    </row>
    <row r="128" spans="1:20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>SUMPRODUCT(A$4:M$4,A128:M128)+N$4</f>
        <v>-1.6124020852213</v>
      </c>
      <c r="P128">
        <f t="shared" si="6"/>
        <v>0.166255382675189</v>
      </c>
      <c r="Q128">
        <f t="shared" si="7"/>
        <v>0</v>
      </c>
      <c r="R128">
        <f t="shared" si="8"/>
        <v>0</v>
      </c>
      <c r="S128">
        <f t="shared" si="9"/>
        <v>0.833744617324811</v>
      </c>
      <c r="T128">
        <f t="shared" si="10"/>
        <v>-0.181828137755379</v>
      </c>
    </row>
    <row r="129" spans="1:20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>SUMPRODUCT(A$4:M$4,A129:M129)+N$4</f>
        <v>6.33946542764753</v>
      </c>
      <c r="P129">
        <f t="shared" si="6"/>
        <v>0.998237864965014</v>
      </c>
      <c r="Q129">
        <f t="shared" si="7"/>
        <v>1</v>
      </c>
      <c r="R129">
        <f t="shared" si="8"/>
        <v>0</v>
      </c>
      <c r="S129">
        <f t="shared" si="9"/>
        <v>0.998237864965014</v>
      </c>
      <c r="T129">
        <f t="shared" si="10"/>
        <v>-0.00176368942122069</v>
      </c>
    </row>
    <row r="130" spans="1:20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>SUMPRODUCT(A$4:M$4,A130:M130)+N$4</f>
        <v>-1.20083181121735</v>
      </c>
      <c r="P130">
        <f t="shared" si="6"/>
        <v>0.231327274962786</v>
      </c>
      <c r="Q130">
        <f t="shared" si="7"/>
        <v>0</v>
      </c>
      <c r="R130">
        <f t="shared" si="8"/>
        <v>0</v>
      </c>
      <c r="S130">
        <f t="shared" si="9"/>
        <v>0.768672725037214</v>
      </c>
      <c r="T130">
        <f t="shared" si="10"/>
        <v>-0.263089985190706</v>
      </c>
    </row>
    <row r="131" spans="1:20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>SUMPRODUCT(A$4:M$4,A131:M131)+N$4</f>
        <v>3.57395800662833</v>
      </c>
      <c r="P131">
        <f t="shared" si="6"/>
        <v>0.97272041312265</v>
      </c>
      <c r="Q131">
        <f t="shared" si="7"/>
        <v>1</v>
      </c>
      <c r="R131">
        <f t="shared" si="8"/>
        <v>0</v>
      </c>
      <c r="S131">
        <f t="shared" si="9"/>
        <v>0.97272041312265</v>
      </c>
      <c r="T131">
        <f t="shared" si="10"/>
        <v>-0.0276585832853613</v>
      </c>
    </row>
    <row r="132" spans="1:20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>SUMPRODUCT(A$4:M$4,A132:M132)+N$4</f>
        <v>-1.2244140255029</v>
      </c>
      <c r="P132">
        <f t="shared" si="6"/>
        <v>0.227160597053566</v>
      </c>
      <c r="Q132">
        <f t="shared" si="7"/>
        <v>0</v>
      </c>
      <c r="R132">
        <f t="shared" si="8"/>
        <v>1</v>
      </c>
      <c r="S132">
        <f t="shared" si="9"/>
        <v>0.227160597053566</v>
      </c>
      <c r="T132">
        <f t="shared" si="10"/>
        <v>-1.48209803563701</v>
      </c>
    </row>
    <row r="133" spans="1:20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>SUMPRODUCT(A$4:M$4,A133:M133)+N$4</f>
        <v>-2.08072564787306</v>
      </c>
      <c r="P133">
        <f t="shared" si="6"/>
        <v>0.110984349127214</v>
      </c>
      <c r="Q133">
        <f t="shared" si="7"/>
        <v>0</v>
      </c>
      <c r="R133">
        <f t="shared" si="8"/>
        <v>0</v>
      </c>
      <c r="S133">
        <f t="shared" si="9"/>
        <v>0.889015650872786</v>
      </c>
      <c r="T133">
        <f t="shared" si="10"/>
        <v>-0.117640438591944</v>
      </c>
    </row>
    <row r="134" spans="1:20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>SUMPRODUCT(A$4:M$4,A134:M134)+N$4</f>
        <v>-1.78742247643701</v>
      </c>
      <c r="P134">
        <f t="shared" ref="P134:P197" si="11">1/(1+EXP(0-O134))</f>
        <v>0.143389026213156</v>
      </c>
      <c r="Q134">
        <f t="shared" ref="Q134:Q197" si="12">IF(P134&lt;=0.5,0,1)</f>
        <v>0</v>
      </c>
      <c r="R134">
        <f t="shared" ref="R134:R197" si="13">IF(N134=Q134,0,1)</f>
        <v>0</v>
      </c>
      <c r="S134">
        <f t="shared" ref="S134:S197" si="14">IF(N134=1,P134,1-P134)</f>
        <v>0.856610973786844</v>
      </c>
      <c r="T134">
        <f t="shared" ref="T134:T197" si="15">IF(S134=0,-100000,LN(S134))</f>
        <v>-0.154771403018059</v>
      </c>
    </row>
    <row r="135" spans="1:20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>SUMPRODUCT(A$4:M$4,A135:M135)+N$4</f>
        <v>-2.03624999202148</v>
      </c>
      <c r="P135">
        <f t="shared" si="11"/>
        <v>0.115449133329262</v>
      </c>
      <c r="Q135">
        <f t="shared" si="12"/>
        <v>0</v>
      </c>
      <c r="R135">
        <f t="shared" si="13"/>
        <v>0</v>
      </c>
      <c r="S135">
        <f t="shared" si="14"/>
        <v>0.884550866670738</v>
      </c>
      <c r="T135">
        <f t="shared" si="15"/>
        <v>-0.122675258080827</v>
      </c>
    </row>
    <row r="136" spans="1:20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>SUMPRODUCT(A$4:M$4,A136:M136)+N$4</f>
        <v>-2.54637308423774</v>
      </c>
      <c r="P136">
        <f t="shared" si="11"/>
        <v>0.0726705229683015</v>
      </c>
      <c r="Q136">
        <f t="shared" si="12"/>
        <v>0</v>
      </c>
      <c r="R136">
        <f t="shared" si="13"/>
        <v>0</v>
      </c>
      <c r="S136">
        <f t="shared" si="14"/>
        <v>0.927329477031698</v>
      </c>
      <c r="T136">
        <f t="shared" si="15"/>
        <v>-0.0754463536603737</v>
      </c>
    </row>
    <row r="137" spans="1:20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>SUMPRODUCT(A$4:M$4,A137:M137)+N$4</f>
        <v>4.32587823321689</v>
      </c>
      <c r="P137">
        <f t="shared" si="11"/>
        <v>0.986950605169608</v>
      </c>
      <c r="Q137">
        <f t="shared" si="12"/>
        <v>1</v>
      </c>
      <c r="R137">
        <f t="shared" si="13"/>
        <v>0</v>
      </c>
      <c r="S137">
        <f t="shared" si="14"/>
        <v>0.986950605169608</v>
      </c>
      <c r="T137">
        <f t="shared" si="15"/>
        <v>-0.0131352862218328</v>
      </c>
    </row>
    <row r="138" spans="1:20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>SUMPRODUCT(A$4:M$4,A138:M138)+N$4</f>
        <v>3.21319222659154</v>
      </c>
      <c r="P138">
        <f t="shared" si="11"/>
        <v>0.961327717037005</v>
      </c>
      <c r="Q138">
        <f t="shared" si="12"/>
        <v>1</v>
      </c>
      <c r="R138">
        <f t="shared" si="13"/>
        <v>0</v>
      </c>
      <c r="S138">
        <f t="shared" si="14"/>
        <v>0.961327717037005</v>
      </c>
      <c r="T138">
        <f t="shared" si="15"/>
        <v>-0.039439911456989</v>
      </c>
    </row>
    <row r="139" spans="1:20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>SUMPRODUCT(A$4:M$4,A139:M139)+N$4</f>
        <v>-4.5280846778935</v>
      </c>
      <c r="P139">
        <f t="shared" si="11"/>
        <v>0.0106859220037993</v>
      </c>
      <c r="Q139">
        <f t="shared" si="12"/>
        <v>0</v>
      </c>
      <c r="R139">
        <f t="shared" si="13"/>
        <v>0</v>
      </c>
      <c r="S139">
        <f t="shared" si="14"/>
        <v>0.989314077996201</v>
      </c>
      <c r="T139">
        <f t="shared" si="15"/>
        <v>-0.0107434264942268</v>
      </c>
    </row>
    <row r="140" spans="1:20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>SUMPRODUCT(A$4:M$4,A140:M140)+N$4</f>
        <v>0.424293089563372</v>
      </c>
      <c r="P140">
        <f t="shared" si="11"/>
        <v>0.604510090726658</v>
      </c>
      <c r="Q140">
        <f t="shared" si="12"/>
        <v>1</v>
      </c>
      <c r="R140">
        <f t="shared" si="13"/>
        <v>0</v>
      </c>
      <c r="S140">
        <f t="shared" si="14"/>
        <v>0.604510090726658</v>
      </c>
      <c r="T140">
        <f t="shared" si="15"/>
        <v>-0.503336916383968</v>
      </c>
    </row>
    <row r="141" spans="1:20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>SUMPRODUCT(A$4:M$4,A141:M141)+N$4</f>
        <v>-1.56820808902285</v>
      </c>
      <c r="P141">
        <f t="shared" si="11"/>
        <v>0.172471992872039</v>
      </c>
      <c r="Q141">
        <f t="shared" si="12"/>
        <v>0</v>
      </c>
      <c r="R141">
        <f t="shared" si="13"/>
        <v>0</v>
      </c>
      <c r="S141">
        <f t="shared" si="14"/>
        <v>0.827528007127961</v>
      </c>
      <c r="T141">
        <f t="shared" si="15"/>
        <v>-0.189312326831808</v>
      </c>
    </row>
    <row r="142" spans="1:20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</v>
      </c>
      <c r="K142">
        <v>2</v>
      </c>
      <c r="L142">
        <v>0</v>
      </c>
      <c r="M142">
        <v>3</v>
      </c>
      <c r="N142">
        <v>0</v>
      </c>
      <c r="O142">
        <f>SUMPRODUCT(A$4:M$4,A142:M142)+N$4</f>
        <v>-1.58528061577096</v>
      </c>
      <c r="P142">
        <f t="shared" si="11"/>
        <v>0.170048917623871</v>
      </c>
      <c r="Q142">
        <f t="shared" si="12"/>
        <v>0</v>
      </c>
      <c r="R142">
        <f t="shared" si="13"/>
        <v>0</v>
      </c>
      <c r="S142">
        <f t="shared" si="14"/>
        <v>0.829951082376129</v>
      </c>
      <c r="T142">
        <f t="shared" si="15"/>
        <v>-0.18638851682457</v>
      </c>
    </row>
    <row r="143" spans="1:20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>SUMPRODUCT(A$4:M$4,A143:M143)+N$4</f>
        <v>-0.505163732625471</v>
      </c>
      <c r="P143">
        <f t="shared" si="11"/>
        <v>0.376327942021469</v>
      </c>
      <c r="Q143">
        <f t="shared" si="12"/>
        <v>0</v>
      </c>
      <c r="R143">
        <f t="shared" si="13"/>
        <v>1</v>
      </c>
      <c r="S143">
        <f t="shared" si="14"/>
        <v>0.376327942021469</v>
      </c>
      <c r="T143">
        <f t="shared" si="15"/>
        <v>-0.977294329498323</v>
      </c>
    </row>
    <row r="144" spans="1:20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>SUMPRODUCT(A$4:M$4,A144:M144)+N$4</f>
        <v>-1.99458894260606</v>
      </c>
      <c r="P144">
        <f t="shared" si="11"/>
        <v>0.119772219996594</v>
      </c>
      <c r="Q144">
        <f t="shared" si="12"/>
        <v>0</v>
      </c>
      <c r="R144">
        <f t="shared" si="13"/>
        <v>0</v>
      </c>
      <c r="S144">
        <f t="shared" si="14"/>
        <v>0.880227780003406</v>
      </c>
      <c r="T144">
        <f t="shared" si="15"/>
        <v>-0.127574564090454</v>
      </c>
    </row>
    <row r="145" spans="1:20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>SUMPRODUCT(A$4:M$4,A145:M145)+N$4</f>
        <v>-2.42369522947671</v>
      </c>
      <c r="P145">
        <f t="shared" si="11"/>
        <v>0.0813835713669707</v>
      </c>
      <c r="Q145">
        <f t="shared" si="12"/>
        <v>0</v>
      </c>
      <c r="R145">
        <f t="shared" si="13"/>
        <v>0</v>
      </c>
      <c r="S145">
        <f t="shared" si="14"/>
        <v>0.918616428633029</v>
      </c>
      <c r="T145">
        <f t="shared" si="15"/>
        <v>-0.0848866228251241</v>
      </c>
    </row>
    <row r="146" spans="1:20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>SUMPRODUCT(A$4:M$4,A146:M146)+N$4</f>
        <v>0.913280474281928</v>
      </c>
      <c r="P146">
        <f t="shared" si="11"/>
        <v>0.713670979928202</v>
      </c>
      <c r="Q146">
        <f t="shared" si="12"/>
        <v>1</v>
      </c>
      <c r="R146">
        <f t="shared" si="13"/>
        <v>0</v>
      </c>
      <c r="S146">
        <f t="shared" si="14"/>
        <v>0.713670979928202</v>
      </c>
      <c r="T146">
        <f t="shared" si="15"/>
        <v>-0.337333235274714</v>
      </c>
    </row>
    <row r="147" spans="1:20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>SUMPRODUCT(A$4:M$4,A147:M147)+N$4</f>
        <v>4.39268742483971</v>
      </c>
      <c r="P147">
        <f t="shared" si="11"/>
        <v>0.987783637296454</v>
      </c>
      <c r="Q147">
        <f t="shared" si="12"/>
        <v>1</v>
      </c>
      <c r="R147">
        <f t="shared" si="13"/>
        <v>0</v>
      </c>
      <c r="S147">
        <f t="shared" si="14"/>
        <v>0.987783637296454</v>
      </c>
      <c r="T147">
        <f t="shared" si="15"/>
        <v>-0.0122915958068436</v>
      </c>
    </row>
    <row r="148" spans="1:20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>SUMPRODUCT(A$4:M$4,A148:M148)+N$4</f>
        <v>-4.2006486083873</v>
      </c>
      <c r="P148">
        <f t="shared" si="11"/>
        <v>0.0147645936761396</v>
      </c>
      <c r="Q148">
        <f t="shared" si="12"/>
        <v>0</v>
      </c>
      <c r="R148">
        <f t="shared" si="13"/>
        <v>0</v>
      </c>
      <c r="S148">
        <f t="shared" si="14"/>
        <v>0.98523540632386</v>
      </c>
      <c r="T148">
        <f t="shared" si="15"/>
        <v>-0.0148746751721574</v>
      </c>
    </row>
    <row r="149" spans="1:20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>SUMPRODUCT(A$4:M$4,A149:M149)+N$4</f>
        <v>1.88595229750871</v>
      </c>
      <c r="P149">
        <f t="shared" si="11"/>
        <v>0.868293324856255</v>
      </c>
      <c r="Q149">
        <f t="shared" si="12"/>
        <v>1</v>
      </c>
      <c r="R149">
        <f t="shared" si="13"/>
        <v>0</v>
      </c>
      <c r="S149">
        <f t="shared" si="14"/>
        <v>0.868293324856255</v>
      </c>
      <c r="T149">
        <f t="shared" si="15"/>
        <v>-0.141225689545853</v>
      </c>
    </row>
    <row r="150" spans="1:20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>SUMPRODUCT(A$4:M$4,A150:M150)+N$4</f>
        <v>5.02351101737586</v>
      </c>
      <c r="P150">
        <f t="shared" si="11"/>
        <v>0.993461652579367</v>
      </c>
      <c r="Q150">
        <f t="shared" si="12"/>
        <v>1</v>
      </c>
      <c r="R150">
        <f t="shared" si="13"/>
        <v>0</v>
      </c>
      <c r="S150">
        <f t="shared" si="14"/>
        <v>0.993461652579367</v>
      </c>
      <c r="T150">
        <f t="shared" si="15"/>
        <v>-0.00655981604484466</v>
      </c>
    </row>
    <row r="151" spans="1:20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>SUMPRODUCT(A$4:M$4,A151:M151)+N$4</f>
        <v>3.05359955127899</v>
      </c>
      <c r="P151">
        <f t="shared" si="11"/>
        <v>0.954937675268969</v>
      </c>
      <c r="Q151">
        <f t="shared" si="12"/>
        <v>1</v>
      </c>
      <c r="R151">
        <f t="shared" si="13"/>
        <v>0</v>
      </c>
      <c r="S151">
        <f t="shared" si="14"/>
        <v>0.954937675268969</v>
      </c>
      <c r="T151">
        <f t="shared" si="15"/>
        <v>-0.0461092021294924</v>
      </c>
    </row>
    <row r="152" spans="1:20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>SUMPRODUCT(A$4:M$4,A152:M152)+N$4</f>
        <v>2.4082771444305</v>
      </c>
      <c r="P152">
        <f t="shared" si="11"/>
        <v>0.917456303418031</v>
      </c>
      <c r="Q152">
        <f t="shared" si="12"/>
        <v>1</v>
      </c>
      <c r="R152">
        <f t="shared" si="13"/>
        <v>0</v>
      </c>
      <c r="S152">
        <f t="shared" si="14"/>
        <v>0.917456303418031</v>
      </c>
      <c r="T152">
        <f t="shared" si="15"/>
        <v>-0.0861503258899699</v>
      </c>
    </row>
    <row r="153" spans="1:20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>SUMPRODUCT(A$4:M$4,A153:M153)+N$4</f>
        <v>-2.94004006776749</v>
      </c>
      <c r="P153">
        <f t="shared" si="11"/>
        <v>0.0502093623888155</v>
      </c>
      <c r="Q153">
        <f t="shared" si="12"/>
        <v>0</v>
      </c>
      <c r="R153">
        <f t="shared" si="13"/>
        <v>0</v>
      </c>
      <c r="S153">
        <f t="shared" si="14"/>
        <v>0.949790637611185</v>
      </c>
      <c r="T153">
        <f t="shared" si="15"/>
        <v>-0.0515137001370243</v>
      </c>
    </row>
    <row r="154" spans="1:20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>SUMPRODUCT(A$4:M$4,A154:M154)+N$4</f>
        <v>-4.17565279301828</v>
      </c>
      <c r="P154">
        <f t="shared" si="11"/>
        <v>0.015132642665311</v>
      </c>
      <c r="Q154">
        <f t="shared" si="12"/>
        <v>0</v>
      </c>
      <c r="R154">
        <f t="shared" si="13"/>
        <v>0</v>
      </c>
      <c r="S154">
        <f t="shared" si="14"/>
        <v>0.984867357334689</v>
      </c>
      <c r="T154">
        <f t="shared" si="15"/>
        <v>-0.0152483094822474</v>
      </c>
    </row>
    <row r="155" spans="1:20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>SUMPRODUCT(A$4:M$4,A155:M155)+N$4</f>
        <v>-1.75872088503129</v>
      </c>
      <c r="P155">
        <f t="shared" si="11"/>
        <v>0.146950612304057</v>
      </c>
      <c r="Q155">
        <f t="shared" si="12"/>
        <v>0</v>
      </c>
      <c r="R155">
        <f t="shared" si="13"/>
        <v>0</v>
      </c>
      <c r="S155">
        <f t="shared" si="14"/>
        <v>0.853049387695944</v>
      </c>
      <c r="T155">
        <f t="shared" si="15"/>
        <v>-0.158937834343619</v>
      </c>
    </row>
    <row r="156" spans="1:20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>SUMPRODUCT(A$4:M$4,A156:M156)+N$4</f>
        <v>-2.43108378371491</v>
      </c>
      <c r="P156">
        <f t="shared" si="11"/>
        <v>0.0808329066360649</v>
      </c>
      <c r="Q156">
        <f t="shared" si="12"/>
        <v>0</v>
      </c>
      <c r="R156">
        <f t="shared" si="13"/>
        <v>1</v>
      </c>
      <c r="S156">
        <f t="shared" si="14"/>
        <v>0.0808329066360649</v>
      </c>
      <c r="T156">
        <f t="shared" si="15"/>
        <v>-2.51537113601574</v>
      </c>
    </row>
    <row r="157" spans="1:20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>SUMPRODUCT(A$4:M$4,A157:M157)+N$4</f>
        <v>4.13066190377975</v>
      </c>
      <c r="P157">
        <f t="shared" si="11"/>
        <v>0.984181993719609</v>
      </c>
      <c r="Q157">
        <f t="shared" si="12"/>
        <v>1</v>
      </c>
      <c r="R157">
        <f t="shared" si="13"/>
        <v>0</v>
      </c>
      <c r="S157">
        <f t="shared" si="14"/>
        <v>0.984181993719609</v>
      </c>
      <c r="T157">
        <f t="shared" si="15"/>
        <v>-0.0159444460644922</v>
      </c>
    </row>
    <row r="158" spans="1:20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>SUMPRODUCT(A$4:M$4,A158:M158)+N$4</f>
        <v>-2.32321060911666</v>
      </c>
      <c r="P158">
        <f t="shared" si="11"/>
        <v>0.0892188246990069</v>
      </c>
      <c r="Q158">
        <f t="shared" si="12"/>
        <v>0</v>
      </c>
      <c r="R158">
        <f t="shared" si="13"/>
        <v>0</v>
      </c>
      <c r="S158">
        <f t="shared" si="14"/>
        <v>0.910781175300993</v>
      </c>
      <c r="T158">
        <f t="shared" si="15"/>
        <v>-0.0934526133186251</v>
      </c>
    </row>
    <row r="159" spans="1:20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>SUMPRODUCT(A$4:M$4,A159:M159)+N$4</f>
        <v>-4.14308346266503</v>
      </c>
      <c r="P159">
        <f t="shared" si="11"/>
        <v>0.0156257884997474</v>
      </c>
      <c r="Q159">
        <f t="shared" si="12"/>
        <v>0</v>
      </c>
      <c r="R159">
        <f t="shared" si="13"/>
        <v>0</v>
      </c>
      <c r="S159">
        <f t="shared" si="14"/>
        <v>0.984374211500253</v>
      </c>
      <c r="T159">
        <f t="shared" si="15"/>
        <v>-0.0157491579840764</v>
      </c>
    </row>
    <row r="160" spans="1:20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>SUMPRODUCT(A$4:M$4,A160:M160)+N$4</f>
        <v>-0.933884762431222</v>
      </c>
      <c r="P160">
        <f t="shared" si="11"/>
        <v>0.282137245481588</v>
      </c>
      <c r="Q160">
        <f t="shared" si="12"/>
        <v>0</v>
      </c>
      <c r="R160">
        <f t="shared" si="13"/>
        <v>0</v>
      </c>
      <c r="S160">
        <f t="shared" si="14"/>
        <v>0.717862754518412</v>
      </c>
      <c r="T160">
        <f t="shared" si="15"/>
        <v>-0.331476877901149</v>
      </c>
    </row>
    <row r="161" spans="1:20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>SUMPRODUCT(A$4:M$4,A161:M161)+N$4</f>
        <v>-0.978588682870087</v>
      </c>
      <c r="P161">
        <f t="shared" si="11"/>
        <v>0.273171909566054</v>
      </c>
      <c r="Q161">
        <f t="shared" si="12"/>
        <v>0</v>
      </c>
      <c r="R161">
        <f t="shared" si="13"/>
        <v>1</v>
      </c>
      <c r="S161">
        <f t="shared" si="14"/>
        <v>0.273171909566054</v>
      </c>
      <c r="T161">
        <f t="shared" si="15"/>
        <v>-1.29765397660825</v>
      </c>
    </row>
    <row r="162" spans="1:20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>SUMPRODUCT(A$4:M$4,A162:M162)+N$4</f>
        <v>5.53480259348329</v>
      </c>
      <c r="P162">
        <f t="shared" si="11"/>
        <v>0.996068529744636</v>
      </c>
      <c r="Q162">
        <f t="shared" si="12"/>
        <v>1</v>
      </c>
      <c r="R162">
        <f t="shared" si="13"/>
        <v>0</v>
      </c>
      <c r="S162">
        <f t="shared" si="14"/>
        <v>0.996068529744636</v>
      </c>
      <c r="T162">
        <f t="shared" si="15"/>
        <v>-0.00393921879999795</v>
      </c>
    </row>
    <row r="163" spans="1:20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>SUMPRODUCT(A$4:M$4,A163:M163)+N$4</f>
        <v>-0.269125150973409</v>
      </c>
      <c r="P163">
        <f t="shared" si="11"/>
        <v>0.433121881788593</v>
      </c>
      <c r="Q163">
        <f t="shared" si="12"/>
        <v>0</v>
      </c>
      <c r="R163">
        <f t="shared" si="13"/>
        <v>1</v>
      </c>
      <c r="S163">
        <f t="shared" si="14"/>
        <v>0.433121881788593</v>
      </c>
      <c r="T163">
        <f t="shared" si="15"/>
        <v>-0.83673610839758</v>
      </c>
    </row>
    <row r="164" spans="1:20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>SUMPRODUCT(A$4:M$4,A164:M164)+N$4</f>
        <v>2.02721596077764</v>
      </c>
      <c r="P164">
        <f t="shared" si="11"/>
        <v>0.883625095827305</v>
      </c>
      <c r="Q164">
        <f t="shared" si="12"/>
        <v>1</v>
      </c>
      <c r="R164">
        <f t="shared" si="13"/>
        <v>0</v>
      </c>
      <c r="S164">
        <f t="shared" si="14"/>
        <v>0.883625095827305</v>
      </c>
      <c r="T164">
        <f t="shared" si="15"/>
        <v>-0.123722406043092</v>
      </c>
    </row>
    <row r="165" spans="1:20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>SUMPRODUCT(A$4:M$4,A165:M165)+N$4</f>
        <v>2.21158937264356</v>
      </c>
      <c r="P165">
        <f t="shared" si="11"/>
        <v>0.901285423535703</v>
      </c>
      <c r="Q165">
        <f t="shared" si="12"/>
        <v>1</v>
      </c>
      <c r="R165">
        <f t="shared" si="13"/>
        <v>0</v>
      </c>
      <c r="S165">
        <f t="shared" si="14"/>
        <v>0.901285423535703</v>
      </c>
      <c r="T165">
        <f t="shared" si="15"/>
        <v>-0.103933286261411</v>
      </c>
    </row>
    <row r="166" spans="1:20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>SUMPRODUCT(A$4:M$4,A166:M166)+N$4</f>
        <v>0.148789326959164</v>
      </c>
      <c r="P166">
        <f t="shared" si="11"/>
        <v>0.537128859625891</v>
      </c>
      <c r="Q166">
        <f t="shared" si="12"/>
        <v>1</v>
      </c>
      <c r="R166">
        <f t="shared" si="13"/>
        <v>1</v>
      </c>
      <c r="S166">
        <f t="shared" si="14"/>
        <v>0.462871140374109</v>
      </c>
      <c r="T166">
        <f t="shared" si="15"/>
        <v>-0.77030657815934</v>
      </c>
    </row>
    <row r="167" spans="1:20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>SUMPRODUCT(A$4:M$4,A167:M167)+N$4</f>
        <v>-1.12713356857825</v>
      </c>
      <c r="P167">
        <f t="shared" si="11"/>
        <v>0.244690478524139</v>
      </c>
      <c r="Q167">
        <f t="shared" si="12"/>
        <v>0</v>
      </c>
      <c r="R167">
        <f t="shared" si="13"/>
        <v>0</v>
      </c>
      <c r="S167">
        <f t="shared" si="14"/>
        <v>0.755309521475861</v>
      </c>
      <c r="T167">
        <f t="shared" si="15"/>
        <v>-0.28062765152498</v>
      </c>
    </row>
    <row r="168" spans="1:20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>SUMPRODUCT(A$4:M$4,A168:M168)+N$4</f>
        <v>-1.97449216990867</v>
      </c>
      <c r="P168">
        <f t="shared" si="11"/>
        <v>0.121907201429253</v>
      </c>
      <c r="Q168">
        <f t="shared" si="12"/>
        <v>0</v>
      </c>
      <c r="R168">
        <f t="shared" si="13"/>
        <v>0</v>
      </c>
      <c r="S168">
        <f t="shared" si="14"/>
        <v>0.878092798570747</v>
      </c>
      <c r="T168">
        <f t="shared" si="15"/>
        <v>-0.130002997799177</v>
      </c>
    </row>
    <row r="169" spans="1:20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>SUMPRODUCT(A$4:M$4,A169:M169)+N$4</f>
        <v>-2.91901102268816</v>
      </c>
      <c r="P169">
        <f t="shared" si="11"/>
        <v>0.0512217419847416</v>
      </c>
      <c r="Q169">
        <f t="shared" si="12"/>
        <v>0</v>
      </c>
      <c r="R169">
        <f t="shared" si="13"/>
        <v>0</v>
      </c>
      <c r="S169">
        <f t="shared" si="14"/>
        <v>0.948778258015258</v>
      </c>
      <c r="T169">
        <f t="shared" si="15"/>
        <v>-0.0525801662465353</v>
      </c>
    </row>
    <row r="170" spans="1:20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>SUMPRODUCT(A$4:M$4,A170:M170)+N$4</f>
        <v>-0.745559536448742</v>
      </c>
      <c r="P170">
        <f t="shared" si="11"/>
        <v>0.321789624444914</v>
      </c>
      <c r="Q170">
        <f t="shared" si="12"/>
        <v>0</v>
      </c>
      <c r="R170">
        <f t="shared" si="13"/>
        <v>0</v>
      </c>
      <c r="S170">
        <f t="shared" si="14"/>
        <v>0.678210375555086</v>
      </c>
      <c r="T170">
        <f t="shared" si="15"/>
        <v>-0.38829775074191</v>
      </c>
    </row>
    <row r="171" spans="1:20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>SUMPRODUCT(A$4:M$4,A171:M171)+N$4</f>
        <v>7.01644744251545</v>
      </c>
      <c r="P171">
        <f t="shared" si="11"/>
        <v>0.999103797393255</v>
      </c>
      <c r="Q171">
        <f t="shared" si="12"/>
        <v>1</v>
      </c>
      <c r="R171">
        <f t="shared" si="13"/>
        <v>0</v>
      </c>
      <c r="S171">
        <f t="shared" si="14"/>
        <v>0.999103797393255</v>
      </c>
      <c r="T171">
        <f t="shared" si="15"/>
        <v>-0.000896604436399907</v>
      </c>
    </row>
    <row r="172" spans="1:20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>SUMPRODUCT(A$4:M$4,A172:M172)+N$4</f>
        <v>3.97349389748865</v>
      </c>
      <c r="P172">
        <f t="shared" si="11"/>
        <v>0.98153958977129</v>
      </c>
      <c r="Q172">
        <f t="shared" si="12"/>
        <v>1</v>
      </c>
      <c r="R172">
        <f t="shared" si="13"/>
        <v>1</v>
      </c>
      <c r="S172">
        <f t="shared" si="14"/>
        <v>0.0184604102287096</v>
      </c>
      <c r="T172">
        <f t="shared" si="15"/>
        <v>-3.9921268275807</v>
      </c>
    </row>
    <row r="173" spans="1:20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>SUMPRODUCT(A$4:M$4,A173:M173)+N$4</f>
        <v>3.62703712029684</v>
      </c>
      <c r="P173">
        <f t="shared" si="11"/>
        <v>0.974094098773647</v>
      </c>
      <c r="Q173">
        <f t="shared" si="12"/>
        <v>1</v>
      </c>
      <c r="R173">
        <f t="shared" si="13"/>
        <v>0</v>
      </c>
      <c r="S173">
        <f t="shared" si="14"/>
        <v>0.974094098773647</v>
      </c>
      <c r="T173">
        <f t="shared" si="15"/>
        <v>-0.0262473693555491</v>
      </c>
    </row>
    <row r="174" spans="1:20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>SUMPRODUCT(A$4:M$4,A174:M174)+N$4</f>
        <v>-4.67808087824834</v>
      </c>
      <c r="P174">
        <f t="shared" si="11"/>
        <v>0.0092112034713626</v>
      </c>
      <c r="Q174">
        <f t="shared" si="12"/>
        <v>0</v>
      </c>
      <c r="R174">
        <f t="shared" si="13"/>
        <v>0</v>
      </c>
      <c r="S174">
        <f t="shared" si="14"/>
        <v>0.990788796528637</v>
      </c>
      <c r="T174">
        <f t="shared" si="15"/>
        <v>-0.00925388893122881</v>
      </c>
    </row>
    <row r="175" spans="1:20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>SUMPRODUCT(A$4:M$4,A175:M175)+N$4</f>
        <v>3.89642351345733</v>
      </c>
      <c r="P175">
        <f t="shared" si="11"/>
        <v>0.98009002395001</v>
      </c>
      <c r="Q175">
        <f t="shared" si="12"/>
        <v>1</v>
      </c>
      <c r="R175">
        <f t="shared" si="13"/>
        <v>0</v>
      </c>
      <c r="S175">
        <f t="shared" si="14"/>
        <v>0.98009002395001</v>
      </c>
      <c r="T175">
        <f t="shared" si="15"/>
        <v>-0.0201108503630193</v>
      </c>
    </row>
    <row r="176" spans="1:20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>SUMPRODUCT(A$4:M$4,A176:M176)+N$4</f>
        <v>-2.95214719342014</v>
      </c>
      <c r="P176">
        <f t="shared" si="11"/>
        <v>0.0496351272623282</v>
      </c>
      <c r="Q176">
        <f t="shared" si="12"/>
        <v>0</v>
      </c>
      <c r="R176">
        <f t="shared" si="13"/>
        <v>0</v>
      </c>
      <c r="S176">
        <f t="shared" si="14"/>
        <v>0.950364872737672</v>
      </c>
      <c r="T176">
        <f t="shared" si="15"/>
        <v>-0.0509092915601043</v>
      </c>
    </row>
    <row r="177" spans="1:20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>SUMPRODUCT(A$4:M$4,A177:M177)+N$4</f>
        <v>1.37029080454662</v>
      </c>
      <c r="P177">
        <f t="shared" si="11"/>
        <v>0.797427133355196</v>
      </c>
      <c r="Q177">
        <f t="shared" si="12"/>
        <v>1</v>
      </c>
      <c r="R177">
        <f t="shared" si="13"/>
        <v>0</v>
      </c>
      <c r="S177">
        <f t="shared" si="14"/>
        <v>0.797427133355196</v>
      </c>
      <c r="T177">
        <f t="shared" si="15"/>
        <v>-0.226364817331133</v>
      </c>
    </row>
    <row r="178" spans="1:20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>SUMPRODUCT(A$4:M$4,A178:M178)+N$4</f>
        <v>-1.17339802819882</v>
      </c>
      <c r="P178">
        <f t="shared" si="11"/>
        <v>0.236241324012739</v>
      </c>
      <c r="Q178">
        <f t="shared" si="12"/>
        <v>0</v>
      </c>
      <c r="R178">
        <f t="shared" si="13"/>
        <v>0</v>
      </c>
      <c r="S178">
        <f t="shared" si="14"/>
        <v>0.763758675987261</v>
      </c>
      <c r="T178">
        <f t="shared" si="15"/>
        <v>-0.269503408839399</v>
      </c>
    </row>
    <row r="179" spans="1:20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>SUMPRODUCT(A$4:M$4,A179:M179)+N$4</f>
        <v>5.18691276772166</v>
      </c>
      <c r="P179">
        <f t="shared" si="11"/>
        <v>0.994441830443493</v>
      </c>
      <c r="Q179">
        <f t="shared" si="12"/>
        <v>1</v>
      </c>
      <c r="R179">
        <f t="shared" si="13"/>
        <v>0</v>
      </c>
      <c r="S179">
        <f t="shared" si="14"/>
        <v>0.994441830443493</v>
      </c>
      <c r="T179">
        <f t="shared" si="15"/>
        <v>-0.00557367365721878</v>
      </c>
    </row>
    <row r="180" spans="1:20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>SUMPRODUCT(A$4:M$4,A180:M180)+N$4</f>
        <v>3.27957944610969</v>
      </c>
      <c r="P180">
        <f t="shared" si="11"/>
        <v>0.963721582963947</v>
      </c>
      <c r="Q180">
        <f t="shared" si="12"/>
        <v>1</v>
      </c>
      <c r="R180">
        <f t="shared" si="13"/>
        <v>0</v>
      </c>
      <c r="S180">
        <f t="shared" si="14"/>
        <v>0.963721582963947</v>
      </c>
      <c r="T180">
        <f t="shared" si="15"/>
        <v>-0.0369528404392405</v>
      </c>
    </row>
    <row r="181" spans="1:20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>SUMPRODUCT(A$4:M$4,A181:M181)+N$4</f>
        <v>-4.19504018785192</v>
      </c>
      <c r="P181">
        <f t="shared" si="11"/>
        <v>0.0148463995412187</v>
      </c>
      <c r="Q181">
        <f t="shared" si="12"/>
        <v>0</v>
      </c>
      <c r="R181">
        <f t="shared" si="13"/>
        <v>0</v>
      </c>
      <c r="S181">
        <f t="shared" si="14"/>
        <v>0.985153600458781</v>
      </c>
      <c r="T181">
        <f t="shared" si="15"/>
        <v>-0.014957710415294</v>
      </c>
    </row>
    <row r="182" spans="1:20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>SUMPRODUCT(A$4:M$4,A182:M182)+N$4</f>
        <v>-0.256839354184248</v>
      </c>
      <c r="P182">
        <f t="shared" si="11"/>
        <v>0.436140823057851</v>
      </c>
      <c r="Q182">
        <f t="shared" si="12"/>
        <v>0</v>
      </c>
      <c r="R182">
        <f t="shared" si="13"/>
        <v>0</v>
      </c>
      <c r="S182">
        <f t="shared" si="14"/>
        <v>0.563859176942149</v>
      </c>
      <c r="T182">
        <f t="shared" si="15"/>
        <v>-0.57295074493367</v>
      </c>
    </row>
    <row r="183" spans="1:20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>SUMPRODUCT(A$4:M$4,A183:M183)+N$4</f>
        <v>-0.540865725199215</v>
      </c>
      <c r="P183">
        <f t="shared" si="11"/>
        <v>0.367986215509437</v>
      </c>
      <c r="Q183">
        <f t="shared" si="12"/>
        <v>0</v>
      </c>
      <c r="R183">
        <f t="shared" si="13"/>
        <v>0</v>
      </c>
      <c r="S183">
        <f t="shared" si="14"/>
        <v>0.632013784490563</v>
      </c>
      <c r="T183">
        <f t="shared" si="15"/>
        <v>-0.458844074170345</v>
      </c>
    </row>
    <row r="184" spans="1:20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>SUMPRODUCT(A$4:M$4,A184:M184)+N$4</f>
        <v>1.52508307880853</v>
      </c>
      <c r="P184">
        <f t="shared" si="11"/>
        <v>0.821285770596439</v>
      </c>
      <c r="Q184">
        <f t="shared" si="12"/>
        <v>1</v>
      </c>
      <c r="R184">
        <f t="shared" si="13"/>
        <v>0</v>
      </c>
      <c r="S184">
        <f t="shared" si="14"/>
        <v>0.821285770596439</v>
      </c>
      <c r="T184">
        <f t="shared" si="15"/>
        <v>-0.196884153850051</v>
      </c>
    </row>
    <row r="185" spans="1:20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>SUMPRODUCT(A$4:M$4,A185:M185)+N$4</f>
        <v>0.819573448066581</v>
      </c>
      <c r="P185">
        <f t="shared" si="11"/>
        <v>0.69414578747078</v>
      </c>
      <c r="Q185">
        <f t="shared" si="12"/>
        <v>1</v>
      </c>
      <c r="R185">
        <f t="shared" si="13"/>
        <v>0</v>
      </c>
      <c r="S185">
        <f t="shared" si="14"/>
        <v>0.69414578747078</v>
      </c>
      <c r="T185">
        <f t="shared" si="15"/>
        <v>-0.36507327213491</v>
      </c>
    </row>
    <row r="186" spans="1:20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>SUMPRODUCT(A$4:M$4,A186:M186)+N$4</f>
        <v>6.34789071613153</v>
      </c>
      <c r="P186">
        <f t="shared" si="11"/>
        <v>0.998252623259862</v>
      </c>
      <c r="Q186">
        <f t="shared" si="12"/>
        <v>1</v>
      </c>
      <c r="R186">
        <f t="shared" si="13"/>
        <v>0</v>
      </c>
      <c r="S186">
        <f t="shared" si="14"/>
        <v>0.998252623259862</v>
      </c>
      <c r="T186">
        <f t="shared" si="15"/>
        <v>-0.0017489051836445</v>
      </c>
    </row>
    <row r="187" spans="1:20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>SUMPRODUCT(A$4:M$4,A187:M187)+N$4</f>
        <v>-3.15110115703716</v>
      </c>
      <c r="P187">
        <f t="shared" si="11"/>
        <v>0.0410479114653353</v>
      </c>
      <c r="Q187">
        <f t="shared" si="12"/>
        <v>0</v>
      </c>
      <c r="R187">
        <f t="shared" si="13"/>
        <v>0</v>
      </c>
      <c r="S187">
        <f t="shared" si="14"/>
        <v>0.958952088534665</v>
      </c>
      <c r="T187">
        <f t="shared" si="15"/>
        <v>-0.0419141651645999</v>
      </c>
    </row>
    <row r="188" spans="1:20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>SUMPRODUCT(A$4:M$4,A188:M188)+N$4</f>
        <v>-1.38051434782181</v>
      </c>
      <c r="P188">
        <f t="shared" si="11"/>
        <v>0.200926405940134</v>
      </c>
      <c r="Q188">
        <f t="shared" si="12"/>
        <v>0</v>
      </c>
      <c r="R188">
        <f t="shared" si="13"/>
        <v>0</v>
      </c>
      <c r="S188">
        <f t="shared" si="14"/>
        <v>0.799073594059866</v>
      </c>
      <c r="T188">
        <f t="shared" si="15"/>
        <v>-0.224302229748048</v>
      </c>
    </row>
    <row r="189" spans="1:20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>SUMPRODUCT(A$4:M$4,A189:M189)+N$4</f>
        <v>-0.715560422289135</v>
      </c>
      <c r="P189">
        <f t="shared" si="11"/>
        <v>0.328371356334488</v>
      </c>
      <c r="Q189">
        <f t="shared" si="12"/>
        <v>0</v>
      </c>
      <c r="R189">
        <f t="shared" si="13"/>
        <v>0</v>
      </c>
      <c r="S189">
        <f t="shared" si="14"/>
        <v>0.671628643665512</v>
      </c>
      <c r="T189">
        <f t="shared" si="15"/>
        <v>-0.398049704799143</v>
      </c>
    </row>
    <row r="190" spans="1:20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>SUMPRODUCT(A$4:M$4,A190:M190)+N$4</f>
        <v>3.72297626564276</v>
      </c>
      <c r="P190">
        <f t="shared" si="11"/>
        <v>0.976408078442544</v>
      </c>
      <c r="Q190">
        <f t="shared" si="12"/>
        <v>1</v>
      </c>
      <c r="R190">
        <f t="shared" si="13"/>
        <v>0</v>
      </c>
      <c r="S190">
        <f t="shared" si="14"/>
        <v>0.976408078442544</v>
      </c>
      <c r="T190">
        <f t="shared" si="15"/>
        <v>-0.0238746667956498</v>
      </c>
    </row>
    <row r="191" spans="1:20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>SUMPRODUCT(A$4:M$4,A191:M191)+N$4</f>
        <v>-3.85403803570771</v>
      </c>
      <c r="P191">
        <f t="shared" si="11"/>
        <v>0.0207541189501666</v>
      </c>
      <c r="Q191">
        <f t="shared" si="12"/>
        <v>0</v>
      </c>
      <c r="R191">
        <f t="shared" si="13"/>
        <v>0</v>
      </c>
      <c r="S191">
        <f t="shared" si="14"/>
        <v>0.979245881049833</v>
      </c>
      <c r="T191">
        <f t="shared" si="15"/>
        <v>-0.0209725126744698</v>
      </c>
    </row>
    <row r="192" spans="1:20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>SUMPRODUCT(A$4:M$4,A192:M192)+N$4</f>
        <v>3.05857595650219</v>
      </c>
      <c r="P192">
        <f t="shared" si="11"/>
        <v>0.955151334348136</v>
      </c>
      <c r="Q192">
        <f t="shared" si="12"/>
        <v>1</v>
      </c>
      <c r="R192">
        <f t="shared" si="13"/>
        <v>0</v>
      </c>
      <c r="S192">
        <f t="shared" si="14"/>
        <v>0.955151334348136</v>
      </c>
      <c r="T192">
        <f t="shared" si="15"/>
        <v>-0.0458854857696979</v>
      </c>
    </row>
    <row r="193" spans="1:20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>SUMPRODUCT(A$4:M$4,A193:M193)+N$4</f>
        <v>-0.801786765212849</v>
      </c>
      <c r="P193">
        <f t="shared" si="11"/>
        <v>0.309643442261609</v>
      </c>
      <c r="Q193">
        <f t="shared" si="12"/>
        <v>0</v>
      </c>
      <c r="R193">
        <f t="shared" si="13"/>
        <v>0</v>
      </c>
      <c r="S193">
        <f t="shared" si="14"/>
        <v>0.690356557738391</v>
      </c>
      <c r="T193">
        <f t="shared" si="15"/>
        <v>-0.37054706451482</v>
      </c>
    </row>
    <row r="194" spans="1:20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>SUMPRODUCT(A$4:M$4,A194:M194)+N$4</f>
        <v>1.0429083376628</v>
      </c>
      <c r="P194">
        <f t="shared" si="11"/>
        <v>0.739410781856441</v>
      </c>
      <c r="Q194">
        <f t="shared" si="12"/>
        <v>1</v>
      </c>
      <c r="R194">
        <f t="shared" si="13"/>
        <v>1</v>
      </c>
      <c r="S194">
        <f t="shared" si="14"/>
        <v>0.260589218143559</v>
      </c>
      <c r="T194">
        <f t="shared" si="15"/>
        <v>-1.34480998834929</v>
      </c>
    </row>
    <row r="195" spans="1:20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>SUMPRODUCT(A$4:M$4,A195:M195)+N$4</f>
        <v>-3.06192155930566</v>
      </c>
      <c r="P195">
        <f t="shared" si="11"/>
        <v>0.0447055672226169</v>
      </c>
      <c r="Q195">
        <f t="shared" si="12"/>
        <v>0</v>
      </c>
      <c r="R195">
        <f t="shared" si="13"/>
        <v>0</v>
      </c>
      <c r="S195">
        <f t="shared" si="14"/>
        <v>0.955294432777383</v>
      </c>
      <c r="T195">
        <f t="shared" si="15"/>
        <v>-0.0457356794449361</v>
      </c>
    </row>
    <row r="196" spans="1:20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>SUMPRODUCT(A$4:M$4,A196:M196)+N$4</f>
        <v>-0.709420344442185</v>
      </c>
      <c r="P196">
        <f t="shared" si="11"/>
        <v>0.329726935528846</v>
      </c>
      <c r="Q196">
        <f t="shared" si="12"/>
        <v>0</v>
      </c>
      <c r="R196">
        <f t="shared" si="13"/>
        <v>0</v>
      </c>
      <c r="S196">
        <f t="shared" si="14"/>
        <v>0.670273064471154</v>
      </c>
      <c r="T196">
        <f t="shared" si="15"/>
        <v>-0.40007009071453</v>
      </c>
    </row>
    <row r="197" spans="1:20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>SUMPRODUCT(A$4:M$4,A197:M197)+N$4</f>
        <v>-4.20641794907686</v>
      </c>
      <c r="P197">
        <f t="shared" si="11"/>
        <v>0.0146809039029538</v>
      </c>
      <c r="Q197">
        <f t="shared" si="12"/>
        <v>0</v>
      </c>
      <c r="R197">
        <f t="shared" si="13"/>
        <v>0</v>
      </c>
      <c r="S197">
        <f t="shared" si="14"/>
        <v>0.985319096097046</v>
      </c>
      <c r="T197">
        <f t="shared" si="15"/>
        <v>-0.0147897348438046</v>
      </c>
    </row>
    <row r="198" spans="1:20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>SUMPRODUCT(A$4:M$4,A198:M198)+N$4</f>
        <v>-4.09816170447655</v>
      </c>
      <c r="P198">
        <f t="shared" ref="P198:P219" si="16">1/(1+EXP(0-O198))</f>
        <v>0.0163320058447497</v>
      </c>
      <c r="Q198">
        <f t="shared" ref="Q198:Q219" si="17">IF(P198&lt;=0.5,0,1)</f>
        <v>0</v>
      </c>
      <c r="R198">
        <f t="shared" ref="R198:R219" si="18">IF(N198=Q198,0,1)</f>
        <v>0</v>
      </c>
      <c r="S198">
        <f t="shared" ref="S198:S219" si="19">IF(N198=1,P198,1-P198)</f>
        <v>0.98366799415525</v>
      </c>
      <c r="T198">
        <f t="shared" ref="T198:T219" si="20">IF(S198=0,-100000,LN(S198))</f>
        <v>-0.0164668431772959</v>
      </c>
    </row>
    <row r="199" spans="1:20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>SUMPRODUCT(A$4:M$4,A199:M199)+N$4</f>
        <v>-5.26151295745582</v>
      </c>
      <c r="P199">
        <f t="shared" si="16"/>
        <v>0.00516067961735169</v>
      </c>
      <c r="Q199">
        <f t="shared" si="17"/>
        <v>0</v>
      </c>
      <c r="R199">
        <f t="shared" si="18"/>
        <v>0</v>
      </c>
      <c r="S199">
        <f t="shared" si="19"/>
        <v>0.994839320382648</v>
      </c>
      <c r="T199">
        <f t="shared" si="20"/>
        <v>-0.00517404191659704</v>
      </c>
    </row>
    <row r="200" spans="1:20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>SUMPRODUCT(A$4:M$4,A200:M200)+N$4</f>
        <v>0.928201874249773</v>
      </c>
      <c r="P200">
        <f t="shared" si="16"/>
        <v>0.716710342411433</v>
      </c>
      <c r="Q200">
        <f t="shared" si="17"/>
        <v>1</v>
      </c>
      <c r="R200">
        <f t="shared" si="18"/>
        <v>0</v>
      </c>
      <c r="S200">
        <f t="shared" si="19"/>
        <v>0.716710342411433</v>
      </c>
      <c r="T200">
        <f t="shared" si="20"/>
        <v>-0.333083505485807</v>
      </c>
    </row>
    <row r="201" spans="1:20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>SUMPRODUCT(A$4:M$4,A201:M201)+N$4</f>
        <v>-5.38425661937026</v>
      </c>
      <c r="P201">
        <f t="shared" si="16"/>
        <v>0.00456729398482958</v>
      </c>
      <c r="Q201">
        <f t="shared" si="17"/>
        <v>0</v>
      </c>
      <c r="R201">
        <f t="shared" si="18"/>
        <v>0</v>
      </c>
      <c r="S201">
        <f t="shared" si="19"/>
        <v>0.99543270601517</v>
      </c>
      <c r="T201">
        <f t="shared" si="20"/>
        <v>-0.00457775593937017</v>
      </c>
    </row>
    <row r="202" spans="1:20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>SUMPRODUCT(A$4:M$4,A202:M202)+N$4</f>
        <v>-1.64121876359738</v>
      </c>
      <c r="P202">
        <f t="shared" si="16"/>
        <v>0.162299293429512</v>
      </c>
      <c r="Q202">
        <f t="shared" si="17"/>
        <v>0</v>
      </c>
      <c r="R202">
        <f t="shared" si="18"/>
        <v>0</v>
      </c>
      <c r="S202">
        <f t="shared" si="19"/>
        <v>0.837700706570488</v>
      </c>
      <c r="T202">
        <f t="shared" si="20"/>
        <v>-0.177094394357899</v>
      </c>
    </row>
    <row r="203" spans="1:20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>SUMPRODUCT(A$4:M$4,A203:M203)+N$4</f>
        <v>-3.81994746594494</v>
      </c>
      <c r="P203">
        <f t="shared" si="16"/>
        <v>0.0214583927962922</v>
      </c>
      <c r="Q203">
        <f t="shared" si="17"/>
        <v>0</v>
      </c>
      <c r="R203">
        <f t="shared" si="18"/>
        <v>0</v>
      </c>
      <c r="S203">
        <f t="shared" si="19"/>
        <v>0.978541607203708</v>
      </c>
      <c r="T203">
        <f t="shared" si="20"/>
        <v>-0.0216919716359046</v>
      </c>
    </row>
    <row r="204" spans="1:20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>SUMPRODUCT(A$4:M$4,A204:M204)+N$4</f>
        <v>-4.07630345458519</v>
      </c>
      <c r="P204">
        <f t="shared" si="16"/>
        <v>0.0166869024471527</v>
      </c>
      <c r="Q204">
        <f t="shared" si="17"/>
        <v>0</v>
      </c>
      <c r="R204">
        <f t="shared" si="18"/>
        <v>0</v>
      </c>
      <c r="S204">
        <f t="shared" si="19"/>
        <v>0.983313097552847</v>
      </c>
      <c r="T204">
        <f t="shared" si="20"/>
        <v>-0.0168276972879431</v>
      </c>
    </row>
    <row r="205" spans="1:20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>SUMPRODUCT(A$4:M$4,A205:M205)+N$4</f>
        <v>0.033870387768685</v>
      </c>
      <c r="P205">
        <f t="shared" si="16"/>
        <v>0.508466787530524</v>
      </c>
      <c r="Q205">
        <f t="shared" si="17"/>
        <v>1</v>
      </c>
      <c r="R205">
        <f t="shared" si="18"/>
        <v>0</v>
      </c>
      <c r="S205">
        <f t="shared" si="19"/>
        <v>0.508466787530524</v>
      </c>
      <c r="T205">
        <f t="shared" si="20"/>
        <v>-0.676355380217519</v>
      </c>
    </row>
    <row r="206" spans="1:20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>SUMPRODUCT(A$4:M$4,A206:M206)+N$4</f>
        <v>3.22118383026373</v>
      </c>
      <c r="P206">
        <f t="shared" si="16"/>
        <v>0.9616237259033</v>
      </c>
      <c r="Q206">
        <f t="shared" si="17"/>
        <v>1</v>
      </c>
      <c r="R206">
        <f t="shared" si="18"/>
        <v>1</v>
      </c>
      <c r="S206">
        <f t="shared" si="19"/>
        <v>0.0383762740967004</v>
      </c>
      <c r="T206">
        <f t="shared" si="20"/>
        <v>-3.26031587240897</v>
      </c>
    </row>
    <row r="207" spans="1:20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>SUMPRODUCT(A$4:M$4,A207:M207)+N$4</f>
        <v>-3.48266960942398</v>
      </c>
      <c r="P207">
        <f t="shared" si="16"/>
        <v>0.0298093756372092</v>
      </c>
      <c r="Q207">
        <f t="shared" si="17"/>
        <v>0</v>
      </c>
      <c r="R207">
        <f t="shared" si="18"/>
        <v>0</v>
      </c>
      <c r="S207">
        <f t="shared" si="19"/>
        <v>0.970190624362791</v>
      </c>
      <c r="T207">
        <f t="shared" si="20"/>
        <v>-0.0302627068305867</v>
      </c>
    </row>
    <row r="208" spans="1:20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>SUMPRODUCT(A$4:M$4,A208:M208)+N$4</f>
        <v>-1.35587282500448</v>
      </c>
      <c r="P208">
        <f t="shared" si="16"/>
        <v>0.204911895185767</v>
      </c>
      <c r="Q208">
        <f t="shared" si="17"/>
        <v>0</v>
      </c>
      <c r="R208">
        <f t="shared" si="18"/>
        <v>1</v>
      </c>
      <c r="S208">
        <f t="shared" si="19"/>
        <v>0.204911895185767</v>
      </c>
      <c r="T208">
        <f t="shared" si="20"/>
        <v>-1.58517517180707</v>
      </c>
    </row>
    <row r="209" spans="1:20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>SUMPRODUCT(A$4:M$4,A209:M209)+N$4</f>
        <v>-4.95770455714676</v>
      </c>
      <c r="P209">
        <f t="shared" si="16"/>
        <v>0.00697998149980288</v>
      </c>
      <c r="Q209">
        <f t="shared" si="17"/>
        <v>0</v>
      </c>
      <c r="R209">
        <f t="shared" si="18"/>
        <v>0</v>
      </c>
      <c r="S209">
        <f t="shared" si="19"/>
        <v>0.993020018500197</v>
      </c>
      <c r="T209">
        <f t="shared" si="20"/>
        <v>-0.00700445552264701</v>
      </c>
    </row>
    <row r="210" spans="1:20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>SUMPRODUCT(A$4:M$4,A210:M210)+N$4</f>
        <v>2.07703615297129</v>
      </c>
      <c r="P210">
        <f t="shared" si="16"/>
        <v>0.888651097311253</v>
      </c>
      <c r="Q210">
        <f t="shared" si="17"/>
        <v>1</v>
      </c>
      <c r="R210">
        <f t="shared" si="18"/>
        <v>0</v>
      </c>
      <c r="S210">
        <f t="shared" si="19"/>
        <v>0.888651097311253</v>
      </c>
      <c r="T210">
        <f t="shared" si="20"/>
        <v>-0.118050586969884</v>
      </c>
    </row>
    <row r="211" spans="1:20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>SUMPRODUCT(A$4:M$4,A211:M211)+N$4</f>
        <v>2.80129377385131</v>
      </c>
      <c r="P211">
        <f t="shared" si="16"/>
        <v>0.942745697173357</v>
      </c>
      <c r="Q211">
        <f t="shared" si="17"/>
        <v>1</v>
      </c>
      <c r="R211">
        <f t="shared" si="18"/>
        <v>0</v>
      </c>
      <c r="S211">
        <f t="shared" si="19"/>
        <v>0.942745697173357</v>
      </c>
      <c r="T211">
        <f t="shared" si="20"/>
        <v>-0.058958706976752</v>
      </c>
    </row>
    <row r="212" spans="1:20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2.3</v>
      </c>
      <c r="K212">
        <v>1</v>
      </c>
      <c r="L212">
        <v>0</v>
      </c>
      <c r="M212">
        <v>6</v>
      </c>
      <c r="N212">
        <v>0</v>
      </c>
      <c r="O212">
        <f>SUMPRODUCT(A$4:M$4,A212:M212)+N$4</f>
        <v>1.06672587292765</v>
      </c>
      <c r="P212">
        <f t="shared" si="16"/>
        <v>0.743973768906793</v>
      </c>
      <c r="Q212">
        <f t="shared" si="17"/>
        <v>1</v>
      </c>
      <c r="R212">
        <f t="shared" si="18"/>
        <v>1</v>
      </c>
      <c r="S212">
        <f t="shared" si="19"/>
        <v>0.256026231093207</v>
      </c>
      <c r="T212">
        <f t="shared" si="20"/>
        <v>-1.36247537454394</v>
      </c>
    </row>
    <row r="213" spans="1:20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>SUMPRODUCT(A$4:M$4,A213:M213)+N$4</f>
        <v>-0.451715168914864</v>
      </c>
      <c r="P213">
        <f t="shared" si="16"/>
        <v>0.388953046744304</v>
      </c>
      <c r="Q213">
        <f t="shared" si="17"/>
        <v>0</v>
      </c>
      <c r="R213">
        <f t="shared" si="18"/>
        <v>0</v>
      </c>
      <c r="S213">
        <f t="shared" si="19"/>
        <v>0.611046953255696</v>
      </c>
      <c r="T213">
        <f t="shared" si="20"/>
        <v>-0.492581476190755</v>
      </c>
    </row>
    <row r="214" spans="1:20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>SUMPRODUCT(A$4:M$4,A214:M214)+N$4</f>
        <v>-1.52819501745378</v>
      </c>
      <c r="P214">
        <f t="shared" si="16"/>
        <v>0.178257929783749</v>
      </c>
      <c r="Q214">
        <f t="shared" si="17"/>
        <v>0</v>
      </c>
      <c r="R214">
        <f t="shared" si="18"/>
        <v>0</v>
      </c>
      <c r="S214">
        <f t="shared" si="19"/>
        <v>0.821742070216251</v>
      </c>
      <c r="T214">
        <f t="shared" si="20"/>
        <v>-0.196328716358113</v>
      </c>
    </row>
    <row r="215" spans="1:20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>SUMPRODUCT(A$4:M$4,A215:M215)+N$4</f>
        <v>2.75713446645337</v>
      </c>
      <c r="P215">
        <f t="shared" si="16"/>
        <v>0.940315015348936</v>
      </c>
      <c r="Q215">
        <f t="shared" si="17"/>
        <v>1</v>
      </c>
      <c r="R215">
        <f t="shared" si="18"/>
        <v>0</v>
      </c>
      <c r="S215">
        <f t="shared" si="19"/>
        <v>0.940315015348936</v>
      </c>
      <c r="T215">
        <f t="shared" si="20"/>
        <v>-0.0615403371475266</v>
      </c>
    </row>
    <row r="216" spans="1:20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>SUMPRODUCT(A$4:M$4,A216:M216)+N$4</f>
        <v>2.39074084224693</v>
      </c>
      <c r="P216">
        <f t="shared" si="16"/>
        <v>0.916118515960105</v>
      </c>
      <c r="Q216">
        <f t="shared" si="17"/>
        <v>1</v>
      </c>
      <c r="R216">
        <f t="shared" si="18"/>
        <v>0</v>
      </c>
      <c r="S216">
        <f t="shared" si="19"/>
        <v>0.916118515960105</v>
      </c>
      <c r="T216">
        <f t="shared" si="20"/>
        <v>-0.0876095384415032</v>
      </c>
    </row>
    <row r="217" spans="1:20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>SUMPRODUCT(A$4:M$4,A217:M217)+N$4</f>
        <v>0.502267239685789</v>
      </c>
      <c r="P217">
        <f t="shared" si="16"/>
        <v>0.622991992825639</v>
      </c>
      <c r="Q217">
        <f t="shared" si="17"/>
        <v>1</v>
      </c>
      <c r="R217">
        <f t="shared" si="18"/>
        <v>0</v>
      </c>
      <c r="S217">
        <f t="shared" si="19"/>
        <v>0.622991992825639</v>
      </c>
      <c r="T217">
        <f t="shared" si="20"/>
        <v>-0.4732216128846</v>
      </c>
    </row>
    <row r="218" spans="1:20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>SUMPRODUCT(A$4:M$4,A218:M218)+N$4</f>
        <v>-1.27972779765025</v>
      </c>
      <c r="P218">
        <f t="shared" si="16"/>
        <v>0.217596562001338</v>
      </c>
      <c r="Q218">
        <f t="shared" si="17"/>
        <v>0</v>
      </c>
      <c r="R218">
        <f t="shared" si="18"/>
        <v>1</v>
      </c>
      <c r="S218">
        <f t="shared" si="19"/>
        <v>0.217596562001338</v>
      </c>
      <c r="T218">
        <f t="shared" si="20"/>
        <v>-1.52511256375137</v>
      </c>
    </row>
    <row r="219" spans="1:20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>SUMPRODUCT(A$4:M$4,A219:M219)+N$4</f>
        <v>-4.56889496260153</v>
      </c>
      <c r="P219">
        <f t="shared" si="16"/>
        <v>0.0102629907972043</v>
      </c>
      <c r="Q219">
        <f t="shared" si="17"/>
        <v>0</v>
      </c>
      <c r="R219">
        <f t="shared" si="18"/>
        <v>0</v>
      </c>
      <c r="S219">
        <f t="shared" si="19"/>
        <v>0.989737009202796</v>
      </c>
      <c r="T219">
        <f t="shared" si="20"/>
        <v>-0.0103160184138908</v>
      </c>
    </row>
    <row r="223" spans="1:18">
      <c r="A223" s="3" t="s">
        <v>37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4" t="s">
        <v>38</v>
      </c>
      <c r="O223" t="s">
        <v>31</v>
      </c>
      <c r="P223" t="s">
        <v>32</v>
      </c>
      <c r="Q223" t="s">
        <v>33</v>
      </c>
      <c r="R223" t="s">
        <v>34</v>
      </c>
    </row>
    <row r="224" spans="1:18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2.3</v>
      </c>
      <c r="K224">
        <v>3</v>
      </c>
      <c r="L224">
        <v>0</v>
      </c>
      <c r="M224">
        <v>6</v>
      </c>
      <c r="N224">
        <v>0</v>
      </c>
      <c r="O224">
        <f>SUMPRODUCT(A$4:M$4,A224:M224)+N$4</f>
        <v>-0.88894512926524</v>
      </c>
      <c r="P224">
        <f t="shared" ref="P220:P283" si="21">1/(1+EXP(0-O224))</f>
        <v>0.291327563681602</v>
      </c>
      <c r="Q224">
        <f>IF(P224&lt;0.5,0,1)</f>
        <v>0</v>
      </c>
      <c r="R224">
        <f>IF(N224=Q224,0,1)</f>
        <v>0</v>
      </c>
    </row>
    <row r="225" spans="1:18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>SUMPRODUCT(A$4:M$4,A225:M225)+N$4</f>
        <v>4.78105493418769</v>
      </c>
      <c r="P225">
        <f t="shared" si="21"/>
        <v>0.991682612733372</v>
      </c>
      <c r="Q225">
        <f t="shared" ref="Q225:Q288" si="22">IF(P225&lt;0.5,0,1)</f>
        <v>1</v>
      </c>
      <c r="R225">
        <f t="shared" ref="R225:R288" si="23">IF(N225=Q225,0,1)</f>
        <v>0</v>
      </c>
    </row>
    <row r="226" spans="1:18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>SUMPRODUCT(A$4:M$4,A226:M226)+N$4</f>
        <v>-0.747021449760078</v>
      </c>
      <c r="P226">
        <f t="shared" si="21"/>
        <v>0.321470658087744</v>
      </c>
      <c r="Q226">
        <f t="shared" si="22"/>
        <v>0</v>
      </c>
      <c r="R226">
        <f t="shared" si="23"/>
        <v>0</v>
      </c>
    </row>
    <row r="227" spans="1:18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>SUMPRODUCT(A$4:M$4,A227:M227)+N$4</f>
        <v>-4.04795320467402</v>
      </c>
      <c r="P227">
        <f t="shared" si="21"/>
        <v>0.0171585165895805</v>
      </c>
      <c r="Q227">
        <f t="shared" si="22"/>
        <v>0</v>
      </c>
      <c r="R227">
        <f t="shared" si="23"/>
        <v>0</v>
      </c>
    </row>
    <row r="228" spans="1:18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>SUMPRODUCT(A$4:M$4,A228:M228)+N$4</f>
        <v>2.60646031593826</v>
      </c>
      <c r="P228">
        <f t="shared" si="21"/>
        <v>0.931276199066616</v>
      </c>
      <c r="Q228">
        <f t="shared" si="22"/>
        <v>1</v>
      </c>
      <c r="R228">
        <f t="shared" si="23"/>
        <v>0</v>
      </c>
    </row>
    <row r="229" spans="1:18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>SUMPRODUCT(A$4:M$4,A229:M229)+N$4</f>
        <v>0.197022918259693</v>
      </c>
      <c r="P229">
        <f t="shared" si="21"/>
        <v>0.549097011448624</v>
      </c>
      <c r="Q229">
        <f t="shared" si="22"/>
        <v>1</v>
      </c>
      <c r="R229">
        <f t="shared" si="23"/>
        <v>1</v>
      </c>
    </row>
    <row r="230" spans="1:18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>SUMPRODUCT(A$4:M$4,A230:M230)+N$4</f>
        <v>1.51016444164085</v>
      </c>
      <c r="P230">
        <f t="shared" si="21"/>
        <v>0.819085575811579</v>
      </c>
      <c r="Q230">
        <f t="shared" si="22"/>
        <v>1</v>
      </c>
      <c r="R230">
        <f t="shared" si="23"/>
        <v>0</v>
      </c>
    </row>
    <row r="231" spans="1:18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>SUMPRODUCT(A$4:M$4,A231:M231)+N$4</f>
        <v>-0.899300656742241</v>
      </c>
      <c r="P231">
        <f t="shared" si="21"/>
        <v>0.289194233828425</v>
      </c>
      <c r="Q231">
        <f t="shared" si="22"/>
        <v>0</v>
      </c>
      <c r="R231">
        <f t="shared" si="23"/>
        <v>0</v>
      </c>
    </row>
    <row r="232" spans="1:18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>SUMPRODUCT(A$4:M$4,A232:M232)+N$4</f>
        <v>-1.33013073128008</v>
      </c>
      <c r="P232">
        <f t="shared" si="21"/>
        <v>0.209137741548698</v>
      </c>
      <c r="Q232">
        <f t="shared" si="22"/>
        <v>0</v>
      </c>
      <c r="R232">
        <f t="shared" si="23"/>
        <v>1</v>
      </c>
    </row>
    <row r="233" spans="1:18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>SUMPRODUCT(A$4:M$4,A233:M233)+N$4</f>
        <v>5.00337439500346</v>
      </c>
      <c r="P233">
        <f t="shared" si="21"/>
        <v>0.993329544943221</v>
      </c>
      <c r="Q233">
        <f t="shared" si="22"/>
        <v>1</v>
      </c>
      <c r="R233">
        <f t="shared" si="23"/>
        <v>0</v>
      </c>
    </row>
    <row r="234" spans="1:18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>SUMPRODUCT(A$4:M$4,A234:M234)+N$4</f>
        <v>-2.86813506509309</v>
      </c>
      <c r="P234">
        <f t="shared" si="21"/>
        <v>0.0537514278192242</v>
      </c>
      <c r="Q234">
        <f t="shared" si="22"/>
        <v>0</v>
      </c>
      <c r="R234">
        <f t="shared" si="23"/>
        <v>0</v>
      </c>
    </row>
    <row r="235" spans="1:18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>SUMPRODUCT(A$4:M$4,A235:M235)+N$4</f>
        <v>-1.20243736991854</v>
      </c>
      <c r="P235">
        <f t="shared" si="21"/>
        <v>0.231041905756573</v>
      </c>
      <c r="Q235">
        <f t="shared" si="22"/>
        <v>0</v>
      </c>
      <c r="R235">
        <f t="shared" si="23"/>
        <v>0</v>
      </c>
    </row>
    <row r="236" spans="1:18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>SUMPRODUCT(A$4:M$4,A236:M236)+N$4</f>
        <v>-1.93411746254935</v>
      </c>
      <c r="P236">
        <f t="shared" si="21"/>
        <v>0.126295539280902</v>
      </c>
      <c r="Q236">
        <f t="shared" si="22"/>
        <v>0</v>
      </c>
      <c r="R236">
        <f t="shared" si="23"/>
        <v>0</v>
      </c>
    </row>
    <row r="237" spans="1:18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>SUMPRODUCT(A$4:M$4,A237:M237)+N$4</f>
        <v>2.27733198105992</v>
      </c>
      <c r="P237">
        <f t="shared" si="21"/>
        <v>0.906982202443533</v>
      </c>
      <c r="Q237">
        <f t="shared" si="22"/>
        <v>1</v>
      </c>
      <c r="R237">
        <f t="shared" si="23"/>
        <v>0</v>
      </c>
    </row>
    <row r="238" spans="1:18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>SUMPRODUCT(A$4:M$4,A238:M238)+N$4</f>
        <v>-2.48296819308015</v>
      </c>
      <c r="P238">
        <f t="shared" si="21"/>
        <v>0.0770608317513367</v>
      </c>
      <c r="Q238">
        <f t="shared" si="22"/>
        <v>0</v>
      </c>
      <c r="R238">
        <f t="shared" si="23"/>
        <v>0</v>
      </c>
    </row>
    <row r="239" spans="1:18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>SUMPRODUCT(A$4:M$4,A239:M239)+N$4</f>
        <v>0.886316667188503</v>
      </c>
      <c r="P239">
        <f t="shared" si="21"/>
        <v>0.708129477546387</v>
      </c>
      <c r="Q239">
        <f t="shared" si="22"/>
        <v>1</v>
      </c>
      <c r="R239">
        <f t="shared" si="23"/>
        <v>0</v>
      </c>
    </row>
    <row r="240" spans="1:18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>SUMPRODUCT(A$4:M$4,A240:M240)+N$4</f>
        <v>-0.863892466112409</v>
      </c>
      <c r="P240">
        <f t="shared" si="21"/>
        <v>0.296526739979267</v>
      </c>
      <c r="Q240">
        <f t="shared" si="22"/>
        <v>0</v>
      </c>
      <c r="R240">
        <f t="shared" si="23"/>
        <v>0</v>
      </c>
    </row>
    <row r="241" spans="1:18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>SUMPRODUCT(A$4:M$4,A241:M241)+N$4</f>
        <v>-0.361920067550601</v>
      </c>
      <c r="P241">
        <f t="shared" si="21"/>
        <v>0.410494851323199</v>
      </c>
      <c r="Q241">
        <f t="shared" si="22"/>
        <v>0</v>
      </c>
      <c r="R241">
        <f t="shared" si="23"/>
        <v>1</v>
      </c>
    </row>
    <row r="242" spans="1:18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>SUMPRODUCT(A$4:M$4,A242:M242)+N$4</f>
        <v>-1.08950724020961</v>
      </c>
      <c r="P242">
        <f t="shared" si="21"/>
        <v>0.251711079630744</v>
      </c>
      <c r="Q242">
        <f t="shared" si="22"/>
        <v>0</v>
      </c>
      <c r="R242">
        <f t="shared" si="23"/>
        <v>0</v>
      </c>
    </row>
    <row r="243" spans="1:18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>SUMPRODUCT(A$4:M$4,A243:M243)+N$4</f>
        <v>-0.26666298363666</v>
      </c>
      <c r="P243">
        <f t="shared" si="21"/>
        <v>0.433726510385328</v>
      </c>
      <c r="Q243">
        <f t="shared" si="22"/>
        <v>0</v>
      </c>
      <c r="R243">
        <f t="shared" si="23"/>
        <v>0</v>
      </c>
    </row>
    <row r="244" spans="1:18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>SUMPRODUCT(A$4:M$4,A244:M244)+N$4</f>
        <v>-4.21285327968328</v>
      </c>
      <c r="P244">
        <f t="shared" si="21"/>
        <v>0.0145881045827796</v>
      </c>
      <c r="Q244">
        <f t="shared" si="22"/>
        <v>0</v>
      </c>
      <c r="R244">
        <f t="shared" si="23"/>
        <v>0</v>
      </c>
    </row>
    <row r="245" spans="1:18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>SUMPRODUCT(A$4:M$4,A245:M245)+N$4</f>
        <v>4.90122631819317</v>
      </c>
      <c r="P245">
        <f t="shared" si="21"/>
        <v>0.992617450604477</v>
      </c>
      <c r="Q245">
        <f t="shared" si="22"/>
        <v>1</v>
      </c>
      <c r="R245">
        <f t="shared" si="23"/>
        <v>0</v>
      </c>
    </row>
    <row r="246" spans="1:18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>SUMPRODUCT(A$4:M$4,A246:M246)+N$4</f>
        <v>-1.15734853624457</v>
      </c>
      <c r="P246">
        <f t="shared" si="21"/>
        <v>0.239149403725646</v>
      </c>
      <c r="Q246">
        <f t="shared" si="22"/>
        <v>0</v>
      </c>
      <c r="R246">
        <f t="shared" si="23"/>
        <v>1</v>
      </c>
    </row>
    <row r="247" spans="1:18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>SUMPRODUCT(A$4:M$4,A247:M247)+N$4</f>
        <v>-1.86569003682146</v>
      </c>
      <c r="P247">
        <f t="shared" si="21"/>
        <v>0.134041209305781</v>
      </c>
      <c r="Q247">
        <f t="shared" si="22"/>
        <v>0</v>
      </c>
      <c r="R247">
        <f t="shared" si="23"/>
        <v>0</v>
      </c>
    </row>
    <row r="248" spans="1:18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>SUMPRODUCT(A$4:M$4,A248:M248)+N$4</f>
        <v>1.92360237662972</v>
      </c>
      <c r="P248">
        <f t="shared" si="21"/>
        <v>0.872539607216056</v>
      </c>
      <c r="Q248">
        <f t="shared" si="22"/>
        <v>1</v>
      </c>
      <c r="R248">
        <f t="shared" si="23"/>
        <v>0</v>
      </c>
    </row>
    <row r="249" spans="1:18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>SUMPRODUCT(A$4:M$4,A249:M249)+N$4</f>
        <v>-2.25952077846201</v>
      </c>
      <c r="P249">
        <f t="shared" si="21"/>
        <v>0.094531380043078</v>
      </c>
      <c r="Q249">
        <f t="shared" si="22"/>
        <v>0</v>
      </c>
      <c r="R249">
        <f t="shared" si="23"/>
        <v>0</v>
      </c>
    </row>
    <row r="250" spans="1:18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>SUMPRODUCT(A$4:M$4,A250:M250)+N$4</f>
        <v>-3.50576826343991</v>
      </c>
      <c r="P250">
        <f t="shared" si="21"/>
        <v>0.0291485510664972</v>
      </c>
      <c r="Q250">
        <f t="shared" si="22"/>
        <v>0</v>
      </c>
      <c r="R250">
        <f t="shared" si="23"/>
        <v>0</v>
      </c>
    </row>
    <row r="251" spans="1:18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>SUMPRODUCT(A$4:M$4,A251:M251)+N$4</f>
        <v>-2.36400885707174</v>
      </c>
      <c r="P251">
        <f t="shared" si="21"/>
        <v>0.0859586961508966</v>
      </c>
      <c r="Q251">
        <f t="shared" si="22"/>
        <v>0</v>
      </c>
      <c r="R251">
        <f t="shared" si="23"/>
        <v>0</v>
      </c>
    </row>
    <row r="252" spans="1:18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>SUMPRODUCT(A$4:M$4,A252:M252)+N$4</f>
        <v>-2.43247654054709</v>
      </c>
      <c r="P252">
        <f t="shared" si="21"/>
        <v>0.0807294866619103</v>
      </c>
      <c r="Q252">
        <f t="shared" si="22"/>
        <v>0</v>
      </c>
      <c r="R252">
        <f t="shared" si="23"/>
        <v>0</v>
      </c>
    </row>
    <row r="253" spans="1:18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>SUMPRODUCT(A$4:M$4,A253:M253)+N$4</f>
        <v>-1.01745939062879</v>
      </c>
      <c r="P253">
        <f t="shared" si="21"/>
        <v>0.265522575780649</v>
      </c>
      <c r="Q253">
        <f t="shared" si="22"/>
        <v>0</v>
      </c>
      <c r="R253">
        <f t="shared" si="23"/>
        <v>0</v>
      </c>
    </row>
    <row r="254" spans="1:18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>SUMPRODUCT(A$4:M$4,A254:M254)+N$4</f>
        <v>1.41876007708037</v>
      </c>
      <c r="P254">
        <f t="shared" si="21"/>
        <v>0.805143962017614</v>
      </c>
      <c r="Q254">
        <f t="shared" si="22"/>
        <v>1</v>
      </c>
      <c r="R254">
        <f t="shared" si="23"/>
        <v>0</v>
      </c>
    </row>
    <row r="255" spans="1:18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>SUMPRODUCT(A$4:M$4,A255:M255)+N$4</f>
        <v>-2.8065977831804</v>
      </c>
      <c r="P255">
        <f t="shared" si="21"/>
        <v>0.0569686837024285</v>
      </c>
      <c r="Q255">
        <f t="shared" si="22"/>
        <v>0</v>
      </c>
      <c r="R255">
        <f t="shared" si="23"/>
        <v>0</v>
      </c>
    </row>
    <row r="256" spans="1:18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>SUMPRODUCT(A$4:M$4,A256:M256)+N$4</f>
        <v>5.74669442364981</v>
      </c>
      <c r="P256">
        <f t="shared" si="21"/>
        <v>0.99681684569805</v>
      </c>
      <c r="Q256">
        <f t="shared" si="22"/>
        <v>1</v>
      </c>
      <c r="R256">
        <f t="shared" si="23"/>
        <v>0</v>
      </c>
    </row>
    <row r="257" spans="1:18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>SUMPRODUCT(A$4:M$4,A257:M257)+N$4</f>
        <v>-3.39593063059289</v>
      </c>
      <c r="P257">
        <f t="shared" si="21"/>
        <v>0.0324228848724413</v>
      </c>
      <c r="Q257">
        <f t="shared" si="22"/>
        <v>0</v>
      </c>
      <c r="R257">
        <f t="shared" si="23"/>
        <v>0</v>
      </c>
    </row>
    <row r="258" spans="1:18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>SUMPRODUCT(A$4:M$4,A258:M258)+N$4</f>
        <v>-3.20839889949142</v>
      </c>
      <c r="P258">
        <f t="shared" si="21"/>
        <v>0.038850877810197</v>
      </c>
      <c r="Q258">
        <f t="shared" si="22"/>
        <v>0</v>
      </c>
      <c r="R258">
        <f t="shared" si="23"/>
        <v>0</v>
      </c>
    </row>
    <row r="259" spans="1:18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>SUMPRODUCT(A$4:M$4,A259:M259)+N$4</f>
        <v>-3.33087487980679</v>
      </c>
      <c r="P259">
        <f t="shared" si="21"/>
        <v>0.0345270543436132</v>
      </c>
      <c r="Q259">
        <f t="shared" si="22"/>
        <v>0</v>
      </c>
      <c r="R259">
        <f t="shared" si="23"/>
        <v>1</v>
      </c>
    </row>
    <row r="260" spans="1:18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>SUMPRODUCT(A$4:M$4,A260:M260)+N$4</f>
        <v>4.14866077602823</v>
      </c>
      <c r="P260">
        <f t="shared" si="21"/>
        <v>0.984459768279064</v>
      </c>
      <c r="Q260">
        <f t="shared" si="22"/>
        <v>1</v>
      </c>
      <c r="R260">
        <f t="shared" si="23"/>
        <v>0</v>
      </c>
    </row>
    <row r="261" spans="1:18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>SUMPRODUCT(A$4:M$4,A261:M261)+N$4</f>
        <v>5.12220578682997</v>
      </c>
      <c r="P261">
        <f t="shared" si="21"/>
        <v>0.994072489300428</v>
      </c>
      <c r="Q261">
        <f t="shared" si="22"/>
        <v>1</v>
      </c>
      <c r="R261">
        <f t="shared" si="23"/>
        <v>0</v>
      </c>
    </row>
    <row r="262" spans="1:18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>SUMPRODUCT(A$4:M$4,A262:M262)+N$4</f>
        <v>2.14728972309882</v>
      </c>
      <c r="P262">
        <f t="shared" si="21"/>
        <v>0.895415240021519</v>
      </c>
      <c r="Q262">
        <f t="shared" si="22"/>
        <v>1</v>
      </c>
      <c r="R262">
        <f t="shared" si="23"/>
        <v>0</v>
      </c>
    </row>
    <row r="263" spans="1:18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>SUMPRODUCT(A$4:M$4,A263:M263)+N$4</f>
        <v>4.65363940113509</v>
      </c>
      <c r="P263">
        <f t="shared" si="21"/>
        <v>0.99056303800696</v>
      </c>
      <c r="Q263">
        <f t="shared" si="22"/>
        <v>1</v>
      </c>
      <c r="R263">
        <f t="shared" si="23"/>
        <v>0</v>
      </c>
    </row>
    <row r="264" spans="1:18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>SUMPRODUCT(A$4:M$4,A264:M264)+N$4</f>
        <v>2.47901184525312</v>
      </c>
      <c r="P264">
        <f t="shared" si="21"/>
        <v>0.922657311797556</v>
      </c>
      <c r="Q264">
        <f t="shared" si="22"/>
        <v>1</v>
      </c>
      <c r="R264">
        <f t="shared" si="23"/>
        <v>1</v>
      </c>
    </row>
    <row r="265" spans="1:18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>SUMPRODUCT(A$4:M$4,A265:M265)+N$4</f>
        <v>-1.56560187207347</v>
      </c>
      <c r="P265">
        <f t="shared" si="21"/>
        <v>0.172844283820667</v>
      </c>
      <c r="Q265">
        <f t="shared" si="22"/>
        <v>0</v>
      </c>
      <c r="R265">
        <f t="shared" si="23"/>
        <v>1</v>
      </c>
    </row>
    <row r="266" spans="1:18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>SUMPRODUCT(A$4:M$4,A266:M266)+N$4</f>
        <v>-2.13994529372538</v>
      </c>
      <c r="P266">
        <f t="shared" si="21"/>
        <v>0.10527454229443</v>
      </c>
      <c r="Q266">
        <f t="shared" si="22"/>
        <v>0</v>
      </c>
      <c r="R266">
        <f t="shared" si="23"/>
        <v>0</v>
      </c>
    </row>
    <row r="267" spans="1:18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>SUMPRODUCT(A$4:M$4,A267:M267)+N$4</f>
        <v>-1.18485844004573</v>
      </c>
      <c r="P267">
        <f t="shared" si="21"/>
        <v>0.2341797605305</v>
      </c>
      <c r="Q267">
        <f t="shared" si="22"/>
        <v>0</v>
      </c>
      <c r="R267">
        <f t="shared" si="23"/>
        <v>0</v>
      </c>
    </row>
    <row r="268" spans="1:18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>SUMPRODUCT(A$4:M$4,A268:M268)+N$4</f>
        <v>4.62591440314969</v>
      </c>
      <c r="P268">
        <f t="shared" si="21"/>
        <v>0.990300310853187</v>
      </c>
      <c r="Q268">
        <f t="shared" si="22"/>
        <v>1</v>
      </c>
      <c r="R268">
        <f t="shared" si="23"/>
        <v>0</v>
      </c>
    </row>
    <row r="269" spans="1:18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>SUMPRODUCT(A$4:M$4,A269:M269)+N$4</f>
        <v>0.644926026000745</v>
      </c>
      <c r="P269">
        <f t="shared" si="21"/>
        <v>0.655866145043729</v>
      </c>
      <c r="Q269">
        <f t="shared" si="22"/>
        <v>1</v>
      </c>
      <c r="R269">
        <f t="shared" si="23"/>
        <v>0</v>
      </c>
    </row>
    <row r="270" spans="1:18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>SUMPRODUCT(A$4:M$4,A270:M270)+N$4</f>
        <v>7.18605919478623</v>
      </c>
      <c r="P270">
        <f t="shared" si="21"/>
        <v>0.999243506014395</v>
      </c>
      <c r="Q270">
        <f t="shared" si="22"/>
        <v>1</v>
      </c>
      <c r="R270">
        <f t="shared" si="23"/>
        <v>0</v>
      </c>
    </row>
    <row r="271" spans="1:18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>SUMPRODUCT(A$4:M$4,A271:M271)+N$4</f>
        <v>3.4510498787747</v>
      </c>
      <c r="P271">
        <f t="shared" si="21"/>
        <v>0.969262434851616</v>
      </c>
      <c r="Q271">
        <f t="shared" si="22"/>
        <v>1</v>
      </c>
      <c r="R271">
        <f t="shared" si="23"/>
        <v>0</v>
      </c>
    </row>
    <row r="272" spans="1:18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>SUMPRODUCT(A$4:M$4,A272:M272)+N$4</f>
        <v>-1.72886274462991</v>
      </c>
      <c r="P272">
        <f t="shared" si="21"/>
        <v>0.150733104984495</v>
      </c>
      <c r="Q272">
        <f t="shared" si="22"/>
        <v>0</v>
      </c>
      <c r="R272">
        <f t="shared" si="23"/>
        <v>0</v>
      </c>
    </row>
    <row r="273" spans="1:18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>SUMPRODUCT(A$4:M$4,A273:M273)+N$4</f>
        <v>-3.02171459407391</v>
      </c>
      <c r="P273">
        <f t="shared" si="21"/>
        <v>0.0464544649981321</v>
      </c>
      <c r="Q273">
        <f t="shared" si="22"/>
        <v>0</v>
      </c>
      <c r="R273">
        <f t="shared" si="23"/>
        <v>0</v>
      </c>
    </row>
    <row r="274" spans="1:18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>SUMPRODUCT(A$4:M$4,A274:M274)+N$4</f>
        <v>-1.44640886168032</v>
      </c>
      <c r="P274">
        <f t="shared" si="21"/>
        <v>0.190554861049002</v>
      </c>
      <c r="Q274">
        <f t="shared" si="22"/>
        <v>0</v>
      </c>
      <c r="R274">
        <f t="shared" si="23"/>
        <v>0</v>
      </c>
    </row>
    <row r="275" spans="1:18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>SUMPRODUCT(A$4:M$4,A275:M275)+N$4</f>
        <v>5.27271869776726</v>
      </c>
      <c r="P275">
        <f t="shared" si="21"/>
        <v>0.994896533333283</v>
      </c>
      <c r="Q275">
        <f t="shared" si="22"/>
        <v>1</v>
      </c>
      <c r="R275">
        <f t="shared" si="23"/>
        <v>0</v>
      </c>
    </row>
    <row r="276" spans="1:18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>SUMPRODUCT(A$4:M$4,A276:M276)+N$4</f>
        <v>2.50792502607327</v>
      </c>
      <c r="P276">
        <f t="shared" si="21"/>
        <v>0.92469552965847</v>
      </c>
      <c r="Q276">
        <f t="shared" si="22"/>
        <v>1</v>
      </c>
      <c r="R276">
        <f t="shared" si="23"/>
        <v>0</v>
      </c>
    </row>
    <row r="277" spans="1:18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>SUMPRODUCT(A$4:M$4,A277:M277)+N$4</f>
        <v>-0.409170858733157</v>
      </c>
      <c r="P277">
        <f t="shared" si="21"/>
        <v>0.399110950327052</v>
      </c>
      <c r="Q277">
        <f t="shared" si="22"/>
        <v>0</v>
      </c>
      <c r="R277">
        <f t="shared" si="23"/>
        <v>1</v>
      </c>
    </row>
    <row r="278" spans="1:18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>SUMPRODUCT(A$4:M$4,A278:M278)+N$4</f>
        <v>-1.52165792856999</v>
      </c>
      <c r="P278">
        <f t="shared" si="21"/>
        <v>0.179217510728443</v>
      </c>
      <c r="Q278">
        <f t="shared" si="22"/>
        <v>0</v>
      </c>
      <c r="R278">
        <f t="shared" si="23"/>
        <v>1</v>
      </c>
    </row>
    <row r="279" spans="1:18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>SUMPRODUCT(A$4:M$4,A279:M279)+N$4</f>
        <v>-0.401946617570378</v>
      </c>
      <c r="P279">
        <f t="shared" si="21"/>
        <v>0.400844734076486</v>
      </c>
      <c r="Q279">
        <f t="shared" si="22"/>
        <v>0</v>
      </c>
      <c r="R279">
        <f t="shared" si="23"/>
        <v>0</v>
      </c>
    </row>
    <row r="280" spans="1:18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>SUMPRODUCT(A$4:M$4,A280:M280)+N$4</f>
        <v>1.98365594345691</v>
      </c>
      <c r="P280">
        <f t="shared" si="21"/>
        <v>0.879070348554377</v>
      </c>
      <c r="Q280">
        <f t="shared" si="22"/>
        <v>1</v>
      </c>
      <c r="R280">
        <f t="shared" si="23"/>
        <v>1</v>
      </c>
    </row>
    <row r="281" spans="1:18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>SUMPRODUCT(A$4:M$4,A281:M281)+N$4</f>
        <v>-3.20044739472651</v>
      </c>
      <c r="P281">
        <f t="shared" si="21"/>
        <v>0.039148890012562</v>
      </c>
      <c r="Q281">
        <f t="shared" si="22"/>
        <v>0</v>
      </c>
      <c r="R281">
        <f t="shared" si="23"/>
        <v>0</v>
      </c>
    </row>
    <row r="282" spans="1:18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>SUMPRODUCT(A$4:M$4,A282:M282)+N$4</f>
        <v>5.26106292467401</v>
      </c>
      <c r="P282">
        <f t="shared" si="21"/>
        <v>0.994837009378586</v>
      </c>
      <c r="Q282">
        <f t="shared" si="22"/>
        <v>1</v>
      </c>
      <c r="R282">
        <f t="shared" si="23"/>
        <v>0</v>
      </c>
    </row>
    <row r="283" spans="1:18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>SUMPRODUCT(A$4:M$4,A283:M283)+N$4</f>
        <v>-0.0594128682158068</v>
      </c>
      <c r="P283">
        <f t="shared" si="21"/>
        <v>0.485151150588171</v>
      </c>
      <c r="Q283">
        <f t="shared" si="22"/>
        <v>0</v>
      </c>
      <c r="R283">
        <f t="shared" si="23"/>
        <v>1</v>
      </c>
    </row>
    <row r="284" spans="1:18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>SUMPRODUCT(A$4:M$4,A284:M284)+N$4</f>
        <v>-3.57763251051424</v>
      </c>
      <c r="P284">
        <f t="shared" ref="P284:P306" si="24">1/(1+EXP(0-O284))</f>
        <v>0.027182251588633</v>
      </c>
      <c r="Q284">
        <f t="shared" si="22"/>
        <v>0</v>
      </c>
      <c r="R284">
        <f t="shared" si="23"/>
        <v>0</v>
      </c>
    </row>
    <row r="285" spans="1:18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>SUMPRODUCT(A$4:M$4,A285:M285)+N$4</f>
        <v>-2.91755664452019</v>
      </c>
      <c r="P285">
        <f t="shared" si="24"/>
        <v>0.0512924681142241</v>
      </c>
      <c r="Q285">
        <f t="shared" si="22"/>
        <v>0</v>
      </c>
      <c r="R285">
        <f t="shared" si="23"/>
        <v>0</v>
      </c>
    </row>
    <row r="286" spans="1:18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>SUMPRODUCT(A$4:M$4,A286:M286)+N$4</f>
        <v>-3.49712835501681</v>
      </c>
      <c r="P286">
        <f t="shared" si="24"/>
        <v>0.0293940482669078</v>
      </c>
      <c r="Q286">
        <f t="shared" si="22"/>
        <v>0</v>
      </c>
      <c r="R286">
        <f t="shared" si="23"/>
        <v>0</v>
      </c>
    </row>
    <row r="287" spans="1:18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>SUMPRODUCT(A$4:M$4,A287:M287)+N$4</f>
        <v>-0.333508447505798</v>
      </c>
      <c r="P287">
        <f t="shared" si="24"/>
        <v>0.417387209510643</v>
      </c>
      <c r="Q287">
        <f t="shared" si="22"/>
        <v>0</v>
      </c>
      <c r="R287">
        <f t="shared" si="23"/>
        <v>1</v>
      </c>
    </row>
    <row r="288" spans="1:18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>SUMPRODUCT(A$4:M$4,A288:M288)+N$4</f>
        <v>2.0583568398002</v>
      </c>
      <c r="P288">
        <f t="shared" si="24"/>
        <v>0.886789311269819</v>
      </c>
      <c r="Q288">
        <f t="shared" si="22"/>
        <v>1</v>
      </c>
      <c r="R288">
        <f t="shared" si="23"/>
        <v>0</v>
      </c>
    </row>
    <row r="289" spans="1:18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>SUMPRODUCT(A$4:M$4,A289:M289)+N$4</f>
        <v>-3.56821667531615</v>
      </c>
      <c r="P289">
        <f t="shared" si="24"/>
        <v>0.0274323496488409</v>
      </c>
      <c r="Q289">
        <f t="shared" ref="Q289:Q306" si="25">IF(P289&lt;0.5,0,1)</f>
        <v>0</v>
      </c>
      <c r="R289">
        <f t="shared" ref="R289:R306" si="26">IF(N289=Q289,0,1)</f>
        <v>0</v>
      </c>
    </row>
    <row r="290" spans="1:18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>SUMPRODUCT(A$4:M$4,A290:M290)+N$4</f>
        <v>3.4119964194114</v>
      </c>
      <c r="P290">
        <f t="shared" si="24"/>
        <v>0.968077356721166</v>
      </c>
      <c r="Q290">
        <f t="shared" si="25"/>
        <v>1</v>
      </c>
      <c r="R290">
        <f t="shared" si="26"/>
        <v>0</v>
      </c>
    </row>
    <row r="291" spans="1:18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>SUMPRODUCT(A$4:M$4,A291:M291)+N$4</f>
        <v>-3.27788948248939</v>
      </c>
      <c r="P291">
        <f t="shared" si="24"/>
        <v>0.0363375483656688</v>
      </c>
      <c r="Q291">
        <f t="shared" si="25"/>
        <v>0</v>
      </c>
      <c r="R291">
        <f t="shared" si="26"/>
        <v>0</v>
      </c>
    </row>
    <row r="292" spans="1:18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>SUMPRODUCT(A$4:M$4,A292:M292)+N$4</f>
        <v>-0.65356009866121</v>
      </c>
      <c r="P292">
        <f t="shared" si="24"/>
        <v>0.342187726266797</v>
      </c>
      <c r="Q292">
        <f t="shared" si="25"/>
        <v>0</v>
      </c>
      <c r="R292">
        <f t="shared" si="26"/>
        <v>0</v>
      </c>
    </row>
    <row r="293" spans="1:18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>SUMPRODUCT(A$4:M$4,A293:M293)+N$4</f>
        <v>-2.26444767551726</v>
      </c>
      <c r="P293">
        <f t="shared" si="24"/>
        <v>0.0941105029514201</v>
      </c>
      <c r="Q293">
        <f t="shared" si="25"/>
        <v>0</v>
      </c>
      <c r="R293">
        <f t="shared" si="26"/>
        <v>0</v>
      </c>
    </row>
    <row r="294" spans="1:18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>SUMPRODUCT(A$4:M$4,A294:M294)+N$4</f>
        <v>-2.22517222385969</v>
      </c>
      <c r="P294">
        <f t="shared" si="24"/>
        <v>0.0975126796090192</v>
      </c>
      <c r="Q294">
        <f t="shared" si="25"/>
        <v>0</v>
      </c>
      <c r="R294">
        <f t="shared" si="26"/>
        <v>1</v>
      </c>
    </row>
    <row r="295" spans="1:18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>SUMPRODUCT(A$4:M$4,A295:M295)+N$4</f>
        <v>-1.50739011359762</v>
      </c>
      <c r="P295">
        <f t="shared" si="24"/>
        <v>0.181325900306408</v>
      </c>
      <c r="Q295">
        <f t="shared" si="25"/>
        <v>0</v>
      </c>
      <c r="R295">
        <f t="shared" si="26"/>
        <v>0</v>
      </c>
    </row>
    <row r="296" spans="1:18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>SUMPRODUCT(A$4:M$4,A296:M296)+N$4</f>
        <v>-3.32564469366567</v>
      </c>
      <c r="P296">
        <f t="shared" si="24"/>
        <v>0.0347018273566706</v>
      </c>
      <c r="Q296">
        <f t="shared" si="25"/>
        <v>0</v>
      </c>
      <c r="R296">
        <f t="shared" si="26"/>
        <v>0</v>
      </c>
    </row>
    <row r="297" spans="1:18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>SUMPRODUCT(A$4:M$4,A297:M297)+N$4</f>
        <v>5.36500414750294</v>
      </c>
      <c r="P297">
        <f t="shared" si="24"/>
        <v>0.99534433575327</v>
      </c>
      <c r="Q297">
        <f t="shared" si="25"/>
        <v>1</v>
      </c>
      <c r="R297">
        <f t="shared" si="26"/>
        <v>0</v>
      </c>
    </row>
    <row r="298" spans="1:18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>SUMPRODUCT(A$4:M$4,A298:M298)+N$4</f>
        <v>-1.64190497813863</v>
      </c>
      <c r="P298">
        <f t="shared" si="24"/>
        <v>0.162206018531906</v>
      </c>
      <c r="Q298">
        <f t="shared" si="25"/>
        <v>0</v>
      </c>
      <c r="R298">
        <f t="shared" si="26"/>
        <v>1</v>
      </c>
    </row>
    <row r="299" spans="1:18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>SUMPRODUCT(A$4:M$4,A299:M299)+N$4</f>
        <v>-0.688501917071429</v>
      </c>
      <c r="P299">
        <f t="shared" si="24"/>
        <v>0.334366412071362</v>
      </c>
      <c r="Q299">
        <f t="shared" si="25"/>
        <v>0</v>
      </c>
      <c r="R299">
        <f t="shared" si="26"/>
        <v>0</v>
      </c>
    </row>
    <row r="300" spans="1:18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>SUMPRODUCT(A$4:M$4,A300:M300)+N$4</f>
        <v>-1.24949815520137</v>
      </c>
      <c r="P300">
        <f t="shared" si="24"/>
        <v>0.222787022651338</v>
      </c>
      <c r="Q300">
        <f t="shared" si="25"/>
        <v>0</v>
      </c>
      <c r="R300">
        <f t="shared" si="26"/>
        <v>1</v>
      </c>
    </row>
    <row r="301" spans="1:18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>SUMPRODUCT(A$4:M$4,A301:M301)+N$4</f>
        <v>-3.19383507874101</v>
      </c>
      <c r="P301">
        <f t="shared" si="24"/>
        <v>0.0393983799328975</v>
      </c>
      <c r="Q301">
        <f t="shared" si="25"/>
        <v>0</v>
      </c>
      <c r="R301">
        <f t="shared" si="26"/>
        <v>0</v>
      </c>
    </row>
    <row r="302" spans="1:18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>SUMPRODUCT(A$4:M$4,A302:M302)+N$4</f>
        <v>-4.18564510155746</v>
      </c>
      <c r="P302">
        <f t="shared" si="24"/>
        <v>0.0149844401044689</v>
      </c>
      <c r="Q302">
        <f t="shared" si="25"/>
        <v>0</v>
      </c>
      <c r="R302">
        <f t="shared" si="26"/>
        <v>0</v>
      </c>
    </row>
    <row r="303" spans="1:18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>SUMPRODUCT(A$4:M$4,A303:M303)+N$4</f>
        <v>-2.17950416869359</v>
      </c>
      <c r="P303">
        <f t="shared" si="24"/>
        <v>0.101606179611595</v>
      </c>
      <c r="Q303">
        <f t="shared" si="25"/>
        <v>0</v>
      </c>
      <c r="R303">
        <f t="shared" si="26"/>
        <v>0</v>
      </c>
    </row>
    <row r="304" spans="1:18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>SUMPRODUCT(A$4:M$4,A304:M304)+N$4</f>
        <v>-2.54393777914274</v>
      </c>
      <c r="P304">
        <f t="shared" si="24"/>
        <v>0.0728348078914363</v>
      </c>
      <c r="Q304">
        <f t="shared" si="25"/>
        <v>0</v>
      </c>
      <c r="R304">
        <f t="shared" si="26"/>
        <v>0</v>
      </c>
    </row>
    <row r="305" spans="1:18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>SUMPRODUCT(A$4:M$4,A305:M305)+N$4</f>
        <v>4.4862977888041</v>
      </c>
      <c r="P305">
        <f t="shared" si="24"/>
        <v>0.988863163970314</v>
      </c>
      <c r="Q305">
        <f t="shared" si="25"/>
        <v>1</v>
      </c>
      <c r="R305">
        <f t="shared" si="26"/>
        <v>0</v>
      </c>
    </row>
    <row r="306" spans="1:18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>SUMPRODUCT(A$4:M$4,A306:M306)+N$4</f>
        <v>-2.09887966810595</v>
      </c>
      <c r="P306">
        <f t="shared" si="24"/>
        <v>0.109205759220399</v>
      </c>
      <c r="Q306">
        <f t="shared" si="25"/>
        <v>0</v>
      </c>
      <c r="R306">
        <f t="shared" si="26"/>
        <v>1</v>
      </c>
    </row>
  </sheetData>
  <mergeCells count="1">
    <mergeCell ref="A223:M2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6"/>
  <sheetViews>
    <sheetView tabSelected="1" zoomScale="70" zoomScaleNormal="70" topLeftCell="A205" workbookViewId="0">
      <selection activeCell="Q226" sqref="Q226"/>
    </sheetView>
  </sheetViews>
  <sheetFormatPr defaultColWidth="9" defaultRowHeight="15"/>
  <cols>
    <col min="1" max="1" width="7.57142857142857" customWidth="1"/>
    <col min="2" max="2" width="6.42857142857143" customWidth="1"/>
    <col min="3" max="3" width="6.85714285714286" customWidth="1"/>
    <col min="4" max="4" width="7.57142857142857" customWidth="1"/>
    <col min="5" max="5" width="6.85714285714286" customWidth="1"/>
    <col min="6" max="6" width="5.42857142857143" customWidth="1"/>
    <col min="7" max="7" width="6.71428571428571" customWidth="1"/>
    <col min="8" max="8" width="6.85714285714286" customWidth="1"/>
    <col min="9" max="9" width="5.71428571428571" customWidth="1"/>
    <col min="10" max="10" width="7.42857142857143" customWidth="1"/>
    <col min="11" max="11" width="5.28571428571429" customWidth="1"/>
    <col min="12" max="12" width="5.14285714285714" customWidth="1"/>
    <col min="13" max="13" width="5.85714285714286" customWidth="1"/>
    <col min="14" max="14" width="15.2857142857143" customWidth="1"/>
    <col min="15" max="15" width="10.8571428571429" customWidth="1"/>
    <col min="16" max="16" width="12.8571428571429"/>
    <col min="17" max="17" width="24.8571428571429" customWidth="1"/>
    <col min="19" max="19" width="11.8571428571429" customWidth="1"/>
    <col min="20" max="20" width="12.4285714285714" customWidth="1"/>
    <col min="37" max="37" width="14"/>
    <col min="38" max="38" width="12.8571428571429"/>
  </cols>
  <sheetData>
    <row r="1" spans="1:20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39</v>
      </c>
      <c r="T1">
        <f>SUM(T6:T219)</f>
        <v>70.4172291252916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8">
      <c r="A3">
        <f>INDEX(LINEST($N6:$N219,$A6:$M219),1,A1)</f>
        <v>-0.00105376379455571</v>
      </c>
      <c r="B3">
        <f>INDEX(LINEST($N6:$N219,$A6:$M219),1,B1)</f>
        <v>0.112191449282481</v>
      </c>
      <c r="C3">
        <f t="shared" ref="C3:O3" si="0">INDEX(LINEST($N6:$N219,$A6:$M219),1,C1)</f>
        <v>0.103269918895218</v>
      </c>
      <c r="D3">
        <f t="shared" si="0"/>
        <v>0.00239557235051842</v>
      </c>
      <c r="E3">
        <f t="shared" si="0"/>
        <v>0.000111778360667736</v>
      </c>
      <c r="F3">
        <f t="shared" si="0"/>
        <v>-0.0678902084742288</v>
      </c>
      <c r="G3">
        <f t="shared" si="0"/>
        <v>0.0215673222753362</v>
      </c>
      <c r="H3">
        <f t="shared" si="0"/>
        <v>-0.00264759449472493</v>
      </c>
      <c r="I3">
        <f t="shared" si="0"/>
        <v>0.124540642780911</v>
      </c>
      <c r="J3">
        <f t="shared" si="0"/>
        <v>0.0317886472135364</v>
      </c>
      <c r="K3">
        <f t="shared" si="0"/>
        <v>0.0869364238288328</v>
      </c>
      <c r="L3">
        <f t="shared" si="0"/>
        <v>0.156819215549918</v>
      </c>
      <c r="M3">
        <f t="shared" si="0"/>
        <v>0.0525396442585086</v>
      </c>
      <c r="N3">
        <f t="shared" si="0"/>
        <v>-0.412306959482809</v>
      </c>
      <c r="Q3" t="s">
        <v>15</v>
      </c>
      <c r="R3">
        <f>SUM(R224:R306)</f>
        <v>16</v>
      </c>
    </row>
    <row r="4" spans="1:18">
      <c r="A4">
        <v>-0.0111722448434886</v>
      </c>
      <c r="B4">
        <v>0.910888569309193</v>
      </c>
      <c r="C4">
        <v>0.833603158730335</v>
      </c>
      <c r="D4">
        <v>0.0309263380835597</v>
      </c>
      <c r="E4">
        <v>0.00245961291009972</v>
      </c>
      <c r="F4">
        <v>-0.499307788519392</v>
      </c>
      <c r="G4">
        <v>0.2391483093156</v>
      </c>
      <c r="H4">
        <v>-0.0210346579953158</v>
      </c>
      <c r="I4">
        <v>0.731483451516926</v>
      </c>
      <c r="J4">
        <v>0.227372815030038</v>
      </c>
      <c r="K4">
        <v>0.857471215316866</v>
      </c>
      <c r="L4">
        <v>1.40526579925058</v>
      </c>
      <c r="M4">
        <v>0.303085184734023</v>
      </c>
      <c r="N4">
        <v>-8.72466662207263</v>
      </c>
      <c r="Q4" t="s">
        <v>16</v>
      </c>
      <c r="R4" s="2">
        <f>1-R3/(306-224+1)</f>
        <v>0.807228915662651</v>
      </c>
    </row>
    <row r="5" spans="1:20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s="1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</row>
    <row r="6" spans="1:20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SUMPRODUCT(A$4:M$4,A6:M6)+N$4</f>
        <v>6.54284917508884</v>
      </c>
      <c r="P6">
        <f t="shared" ref="P6:P69" si="1">1/(1+EXP(0-O6))</f>
        <v>0.998561692951076</v>
      </c>
      <c r="Q6">
        <f t="shared" ref="Q6:Q69" si="2">IF(P6&lt;=0.5,0,1)</f>
        <v>1</v>
      </c>
      <c r="R6">
        <f t="shared" ref="R6:R69" si="3">IF(N6=Q6,0,1)</f>
        <v>0</v>
      </c>
      <c r="S6">
        <f t="shared" ref="S6:S69" si="4">IF(N6=1,P6,1-P6)</f>
        <v>0.998561692951076</v>
      </c>
      <c r="T6">
        <f>IF(S6=0,100000,-LN(S6))</f>
        <v>0.0014393424054007</v>
      </c>
    </row>
    <row r="7" spans="1:20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>SUMPRODUCT(A$4:M$4,A7:M7)+N$4</f>
        <v>-2.23922374621027</v>
      </c>
      <c r="P7">
        <f t="shared" si="1"/>
        <v>0.0962830644349725</v>
      </c>
      <c r="Q7">
        <f t="shared" si="2"/>
        <v>0</v>
      </c>
      <c r="R7">
        <f t="shared" si="3"/>
        <v>0</v>
      </c>
      <c r="S7">
        <f t="shared" si="4"/>
        <v>0.903716935565028</v>
      </c>
      <c r="T7">
        <f t="shared" ref="T7:T70" si="5">IF(S7=0,100000,-LN(S7))</f>
        <v>0.101239091998603</v>
      </c>
    </row>
    <row r="8" spans="1:20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>SUMPRODUCT(A$4:M$4,A8:M8)+N$4</f>
        <v>-2.45051589885692</v>
      </c>
      <c r="P8">
        <f t="shared" si="1"/>
        <v>0.0794008306827882</v>
      </c>
      <c r="Q8">
        <f t="shared" si="2"/>
        <v>0</v>
      </c>
      <c r="R8">
        <f t="shared" si="3"/>
        <v>0</v>
      </c>
      <c r="S8">
        <f t="shared" si="4"/>
        <v>0.920599169317212</v>
      </c>
      <c r="T8">
        <f t="shared" si="5"/>
        <v>0.0827305499270028</v>
      </c>
    </row>
    <row r="9" spans="1:20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>SUMPRODUCT(A$4:M$4,A9:M9)+N$4</f>
        <v>-3.71310680634647</v>
      </c>
      <c r="P9">
        <f t="shared" si="1"/>
        <v>0.0238203400802312</v>
      </c>
      <c r="Q9">
        <f t="shared" si="2"/>
        <v>0</v>
      </c>
      <c r="R9">
        <f t="shared" si="3"/>
        <v>0</v>
      </c>
      <c r="S9">
        <f t="shared" si="4"/>
        <v>0.976179659919769</v>
      </c>
      <c r="T9">
        <f t="shared" si="5"/>
        <v>0.0241086317226332</v>
      </c>
    </row>
    <row r="10" spans="1:20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>SUMPRODUCT(A$4:M$4,A10:M10)+N$4</f>
        <v>-2.56006468008125</v>
      </c>
      <c r="P10">
        <f t="shared" si="1"/>
        <v>0.071753234146527</v>
      </c>
      <c r="Q10">
        <f t="shared" si="2"/>
        <v>0</v>
      </c>
      <c r="R10">
        <f t="shared" si="3"/>
        <v>0</v>
      </c>
      <c r="S10">
        <f t="shared" si="4"/>
        <v>0.928246765853473</v>
      </c>
      <c r="T10">
        <f t="shared" si="5"/>
        <v>0.0744576700640924</v>
      </c>
    </row>
    <row r="11" spans="1:20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>SUMPRODUCT(A$4:M$4,A11:M11)+N$4</f>
        <v>-2.04048220553501</v>
      </c>
      <c r="P11">
        <f t="shared" si="1"/>
        <v>0.115017639915162</v>
      </c>
      <c r="Q11">
        <f t="shared" si="2"/>
        <v>0</v>
      </c>
      <c r="R11">
        <f t="shared" si="3"/>
        <v>0</v>
      </c>
      <c r="S11">
        <f t="shared" si="4"/>
        <v>0.884982360084838</v>
      </c>
      <c r="T11">
        <f t="shared" si="5"/>
        <v>0.122187566280382</v>
      </c>
    </row>
    <row r="12" spans="1:20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>SUMPRODUCT(A$4:M$4,A12:M12)+N$4</f>
        <v>3.32624159725486</v>
      </c>
      <c r="P12">
        <f t="shared" si="1"/>
        <v>0.965318161934904</v>
      </c>
      <c r="Q12">
        <f t="shared" si="2"/>
        <v>1</v>
      </c>
      <c r="R12">
        <f t="shared" si="3"/>
        <v>0</v>
      </c>
      <c r="S12">
        <f t="shared" si="4"/>
        <v>0.965318161934904</v>
      </c>
      <c r="T12">
        <f t="shared" si="5"/>
        <v>0.0352975304957951</v>
      </c>
    </row>
    <row r="13" spans="1:20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>SUMPRODUCT(A$4:M$4,A13:M13)+N$4</f>
        <v>-0.555840544831948</v>
      </c>
      <c r="P13">
        <f t="shared" si="1"/>
        <v>0.36451042254326</v>
      </c>
      <c r="Q13">
        <f t="shared" si="2"/>
        <v>0</v>
      </c>
      <c r="R13">
        <f t="shared" si="3"/>
        <v>0</v>
      </c>
      <c r="S13">
        <f t="shared" si="4"/>
        <v>0.63548957745674</v>
      </c>
      <c r="T13">
        <f t="shared" si="5"/>
        <v>0.453359589027261</v>
      </c>
    </row>
    <row r="14" spans="1:20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>SUMPRODUCT(A$4:M$4,A14:M14)+N$4</f>
        <v>-0.899079597489045</v>
      </c>
      <c r="P14">
        <f t="shared" si="1"/>
        <v>0.289239677091362</v>
      </c>
      <c r="Q14">
        <f t="shared" si="2"/>
        <v>0</v>
      </c>
      <c r="R14">
        <f t="shared" si="3"/>
        <v>0</v>
      </c>
      <c r="S14">
        <f t="shared" si="4"/>
        <v>0.710760322908638</v>
      </c>
      <c r="T14">
        <f t="shared" si="5"/>
        <v>0.341420004590776</v>
      </c>
    </row>
    <row r="15" spans="1:20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>SUMPRODUCT(A$4:M$4,A15:M15)+N$4</f>
        <v>-2.54949852446667</v>
      </c>
      <c r="P15">
        <f t="shared" si="1"/>
        <v>0.0724601821584315</v>
      </c>
      <c r="Q15">
        <f t="shared" si="2"/>
        <v>0</v>
      </c>
      <c r="R15">
        <f t="shared" si="3"/>
        <v>1</v>
      </c>
      <c r="S15">
        <f t="shared" si="4"/>
        <v>0.0724601821584315</v>
      </c>
      <c r="T15">
        <f t="shared" si="5"/>
        <v>2.62471807960129</v>
      </c>
    </row>
    <row r="16" spans="1:20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>SUMPRODUCT(A$4:M$4,A16:M16)+N$4</f>
        <v>2.41222742775242</v>
      </c>
      <c r="P16">
        <f t="shared" si="1"/>
        <v>0.917754966396537</v>
      </c>
      <c r="Q16">
        <f t="shared" si="2"/>
        <v>1</v>
      </c>
      <c r="R16">
        <f t="shared" si="3"/>
        <v>0</v>
      </c>
      <c r="S16">
        <f t="shared" si="4"/>
        <v>0.917754966396537</v>
      </c>
      <c r="T16">
        <f t="shared" si="5"/>
        <v>0.0858248451281032</v>
      </c>
    </row>
    <row r="17" spans="1:20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>SUMPRODUCT(A$4:M$4,A17:M17)+N$4</f>
        <v>-3.78856364521091</v>
      </c>
      <c r="P17">
        <f t="shared" si="1"/>
        <v>0.0221273803291603</v>
      </c>
      <c r="Q17">
        <f t="shared" si="2"/>
        <v>0</v>
      </c>
      <c r="R17">
        <f t="shared" si="3"/>
        <v>0</v>
      </c>
      <c r="S17">
        <f t="shared" si="4"/>
        <v>0.97787261967084</v>
      </c>
      <c r="T17">
        <f t="shared" si="5"/>
        <v>0.0223758631653699</v>
      </c>
    </row>
    <row r="18" spans="1:20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>SUMPRODUCT(A$4:M$4,A18:M18)+N$4</f>
        <v>0.66451553226398</v>
      </c>
      <c r="P18">
        <f t="shared" si="1"/>
        <v>0.66027400947482</v>
      </c>
      <c r="Q18">
        <f t="shared" si="2"/>
        <v>1</v>
      </c>
      <c r="R18">
        <f t="shared" si="3"/>
        <v>0</v>
      </c>
      <c r="S18">
        <f t="shared" si="4"/>
        <v>0.66027400947482</v>
      </c>
      <c r="T18">
        <f t="shared" si="5"/>
        <v>0.415100364248232</v>
      </c>
    </row>
    <row r="19" spans="1:20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</v>
      </c>
      <c r="K19">
        <v>2</v>
      </c>
      <c r="L19">
        <v>3</v>
      </c>
      <c r="M19">
        <v>7</v>
      </c>
      <c r="N19">
        <v>1</v>
      </c>
      <c r="O19">
        <f>SUMPRODUCT(A$4:M$4,A19:M19)+N$4</f>
        <v>6.3692882318642</v>
      </c>
      <c r="P19">
        <f t="shared" si="1"/>
        <v>0.998289552324214</v>
      </c>
      <c r="Q19">
        <f t="shared" si="2"/>
        <v>1</v>
      </c>
      <c r="R19">
        <f t="shared" si="3"/>
        <v>0</v>
      </c>
      <c r="S19">
        <f t="shared" si="4"/>
        <v>0.998289552324214</v>
      </c>
      <c r="T19">
        <f t="shared" si="5"/>
        <v>0.00171191216160072</v>
      </c>
    </row>
    <row r="20" spans="1:20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>SUMPRODUCT(A$4:M$4,A20:M20)+N$4</f>
        <v>2.27411126832926</v>
      </c>
      <c r="P20">
        <f t="shared" si="1"/>
        <v>0.906710129054663</v>
      </c>
      <c r="Q20">
        <f t="shared" si="2"/>
        <v>1</v>
      </c>
      <c r="R20">
        <f t="shared" si="3"/>
        <v>0</v>
      </c>
      <c r="S20">
        <f t="shared" si="4"/>
        <v>0.906710129054663</v>
      </c>
      <c r="T20">
        <f t="shared" si="5"/>
        <v>0.0979324730517706</v>
      </c>
    </row>
    <row r="21" spans="1:20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>SUMPRODUCT(A$4:M$4,A21:M21)+N$4</f>
        <v>4.65278888028453</v>
      </c>
      <c r="P21">
        <f t="shared" si="1"/>
        <v>0.990555084100056</v>
      </c>
      <c r="Q21">
        <f t="shared" si="2"/>
        <v>1</v>
      </c>
      <c r="R21">
        <f t="shared" si="3"/>
        <v>0</v>
      </c>
      <c r="S21">
        <f t="shared" si="4"/>
        <v>0.990555084100056</v>
      </c>
      <c r="T21">
        <f t="shared" si="5"/>
        <v>0.00948980197181748</v>
      </c>
    </row>
    <row r="22" spans="1:20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>SUMPRODUCT(A$4:M$4,A22:M22)+N$4</f>
        <v>-2.65933914670359</v>
      </c>
      <c r="P22">
        <f t="shared" si="1"/>
        <v>0.0654157240863154</v>
      </c>
      <c r="Q22">
        <f t="shared" si="2"/>
        <v>0</v>
      </c>
      <c r="R22">
        <f t="shared" si="3"/>
        <v>0</v>
      </c>
      <c r="S22">
        <f t="shared" si="4"/>
        <v>0.934584275913685</v>
      </c>
      <c r="T22">
        <f t="shared" si="5"/>
        <v>0.0676534732595637</v>
      </c>
    </row>
    <row r="23" spans="1:20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>SUMPRODUCT(A$4:M$4,A23:M23)+N$4</f>
        <v>1.58407812483892</v>
      </c>
      <c r="P23">
        <f t="shared" si="1"/>
        <v>0.829781304744261</v>
      </c>
      <c r="Q23">
        <f t="shared" si="2"/>
        <v>1</v>
      </c>
      <c r="R23">
        <f t="shared" si="3"/>
        <v>0</v>
      </c>
      <c r="S23">
        <f t="shared" si="4"/>
        <v>0.829781304744261</v>
      </c>
      <c r="T23">
        <f t="shared" si="5"/>
        <v>0.18659310117055</v>
      </c>
    </row>
    <row r="24" spans="1:20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>SUMPRODUCT(A$4:M$4,A24:M24)+N$4</f>
        <v>3.47301398071444</v>
      </c>
      <c r="P24">
        <f t="shared" si="1"/>
        <v>0.969910104704473</v>
      </c>
      <c r="Q24">
        <f t="shared" si="2"/>
        <v>1</v>
      </c>
      <c r="R24">
        <f t="shared" si="3"/>
        <v>0</v>
      </c>
      <c r="S24">
        <f t="shared" si="4"/>
        <v>0.969910104704473</v>
      </c>
      <c r="T24">
        <f t="shared" si="5"/>
        <v>0.0305518873417532</v>
      </c>
    </row>
    <row r="25" spans="1:20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>SUMPRODUCT(A$4:M$4,A25:M25)+N$4</f>
        <v>-3.94902946097306</v>
      </c>
      <c r="P25">
        <f t="shared" si="1"/>
        <v>0.0189089583998715</v>
      </c>
      <c r="Q25">
        <f t="shared" si="2"/>
        <v>0</v>
      </c>
      <c r="R25">
        <f t="shared" si="3"/>
        <v>0</v>
      </c>
      <c r="S25">
        <f t="shared" si="4"/>
        <v>0.981091041600128</v>
      </c>
      <c r="T25">
        <f t="shared" si="5"/>
        <v>0.0190900188297843</v>
      </c>
    </row>
    <row r="26" spans="1:20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>SUMPRODUCT(A$4:M$4,A26:M26)+N$4</f>
        <v>1.25468723904424</v>
      </c>
      <c r="P26">
        <f t="shared" si="1"/>
        <v>0.778110189965788</v>
      </c>
      <c r="Q26">
        <f t="shared" si="2"/>
        <v>1</v>
      </c>
      <c r="R26">
        <f t="shared" si="3"/>
        <v>0</v>
      </c>
      <c r="S26">
        <f t="shared" si="4"/>
        <v>0.778110189965788</v>
      </c>
      <c r="T26">
        <f t="shared" si="5"/>
        <v>0.250887132485889</v>
      </c>
    </row>
    <row r="27" spans="1:20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>SUMPRODUCT(A$4:M$4,A27:M27)+N$4</f>
        <v>3.0367655626615</v>
      </c>
      <c r="P27">
        <f t="shared" si="1"/>
        <v>0.95420770676143</v>
      </c>
      <c r="Q27">
        <f t="shared" si="2"/>
        <v>1</v>
      </c>
      <c r="R27">
        <f t="shared" si="3"/>
        <v>0</v>
      </c>
      <c r="S27">
        <f t="shared" si="4"/>
        <v>0.95420770676143</v>
      </c>
      <c r="T27">
        <f t="shared" si="5"/>
        <v>0.0468739092596903</v>
      </c>
    </row>
    <row r="28" spans="1:20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>SUMPRODUCT(A$4:M$4,A28:M28)+N$4</f>
        <v>0.437414136897448</v>
      </c>
      <c r="P28">
        <f t="shared" si="1"/>
        <v>0.607642699138002</v>
      </c>
      <c r="Q28">
        <f t="shared" si="2"/>
        <v>1</v>
      </c>
      <c r="R28">
        <f t="shared" si="3"/>
        <v>0</v>
      </c>
      <c r="S28">
        <f t="shared" si="4"/>
        <v>0.607642699138002</v>
      </c>
      <c r="T28">
        <f t="shared" si="5"/>
        <v>0.498168235650695</v>
      </c>
    </row>
    <row r="29" spans="1:20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>SUMPRODUCT(A$4:M$4,A29:M29)+N$4</f>
        <v>-3.43917059219686</v>
      </c>
      <c r="P29">
        <f t="shared" si="1"/>
        <v>0.0310934617296228</v>
      </c>
      <c r="Q29">
        <f t="shared" si="2"/>
        <v>0</v>
      </c>
      <c r="R29">
        <f t="shared" si="3"/>
        <v>0</v>
      </c>
      <c r="S29">
        <f t="shared" si="4"/>
        <v>0.968906538270377</v>
      </c>
      <c r="T29">
        <f t="shared" si="5"/>
        <v>0.0315871234764952</v>
      </c>
    </row>
    <row r="30" spans="1:20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>SUMPRODUCT(A$4:M$4,A30:M30)+N$4</f>
        <v>1.22505589555394</v>
      </c>
      <c r="P30">
        <f t="shared" si="1"/>
        <v>0.772952069057821</v>
      </c>
      <c r="Q30">
        <f t="shared" si="2"/>
        <v>1</v>
      </c>
      <c r="R30">
        <f t="shared" si="3"/>
        <v>0</v>
      </c>
      <c r="S30">
        <f t="shared" si="4"/>
        <v>0.772952069057821</v>
      </c>
      <c r="T30">
        <f t="shared" si="5"/>
        <v>0.257538238710696</v>
      </c>
    </row>
    <row r="31" spans="1:20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>SUMPRODUCT(A$4:M$4,A31:M31)+N$4</f>
        <v>2.97932437480628</v>
      </c>
      <c r="P31">
        <f t="shared" si="1"/>
        <v>0.951631282290633</v>
      </c>
      <c r="Q31">
        <f t="shared" si="2"/>
        <v>1</v>
      </c>
      <c r="R31">
        <f t="shared" si="3"/>
        <v>0</v>
      </c>
      <c r="S31">
        <f t="shared" si="4"/>
        <v>0.951631282290633</v>
      </c>
      <c r="T31">
        <f t="shared" si="5"/>
        <v>0.0495776277323305</v>
      </c>
    </row>
    <row r="32" spans="1:20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>SUMPRODUCT(A$4:M$4,A32:M32)+N$4</f>
        <v>-2.07818124862522</v>
      </c>
      <c r="P32">
        <f t="shared" si="1"/>
        <v>0.111235645518791</v>
      </c>
      <c r="Q32">
        <f t="shared" si="2"/>
        <v>0</v>
      </c>
      <c r="R32">
        <f t="shared" si="3"/>
        <v>1</v>
      </c>
      <c r="S32">
        <f t="shared" si="4"/>
        <v>0.111235645518791</v>
      </c>
      <c r="T32">
        <f t="shared" si="5"/>
        <v>2.19610439530533</v>
      </c>
    </row>
    <row r="33" spans="1:20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>SUMPRODUCT(A$4:M$4,A33:M33)+N$4</f>
        <v>-3.4063848074381</v>
      </c>
      <c r="P33">
        <f t="shared" si="1"/>
        <v>0.0320965184802081</v>
      </c>
      <c r="Q33">
        <f t="shared" si="2"/>
        <v>0</v>
      </c>
      <c r="R33">
        <f t="shared" si="3"/>
        <v>0</v>
      </c>
      <c r="S33">
        <f t="shared" si="4"/>
        <v>0.967903481519792</v>
      </c>
      <c r="T33">
        <f t="shared" si="5"/>
        <v>0.0326229058506189</v>
      </c>
    </row>
    <row r="34" spans="1:20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>SUMPRODUCT(A$4:M$4,A34:M34)+N$4</f>
        <v>-3.95235937814449</v>
      </c>
      <c r="P34">
        <f t="shared" si="1"/>
        <v>0.0188472826033877</v>
      </c>
      <c r="Q34">
        <f t="shared" si="2"/>
        <v>0</v>
      </c>
      <c r="R34">
        <f t="shared" si="3"/>
        <v>0</v>
      </c>
      <c r="S34">
        <f t="shared" si="4"/>
        <v>0.981152717396612</v>
      </c>
      <c r="T34">
        <f t="shared" si="5"/>
        <v>0.0190271563070001</v>
      </c>
    </row>
    <row r="35" spans="1:20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>SUMPRODUCT(A$4:M$4,A35:M35)+N$4</f>
        <v>-1.01344315108731</v>
      </c>
      <c r="P35">
        <f t="shared" si="1"/>
        <v>0.266306561410806</v>
      </c>
      <c r="Q35">
        <f t="shared" si="2"/>
        <v>0</v>
      </c>
      <c r="R35">
        <f t="shared" si="3"/>
        <v>0</v>
      </c>
      <c r="S35">
        <f t="shared" si="4"/>
        <v>0.733693438589194</v>
      </c>
      <c r="T35">
        <f t="shared" si="5"/>
        <v>0.309663996209095</v>
      </c>
    </row>
    <row r="36" spans="1:20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>SUMPRODUCT(A$4:M$4,A36:M36)+N$4</f>
        <v>-2.84773829493514</v>
      </c>
      <c r="P36">
        <f t="shared" si="1"/>
        <v>0.0547983454433833</v>
      </c>
      <c r="Q36">
        <f t="shared" si="2"/>
        <v>0</v>
      </c>
      <c r="R36">
        <f t="shared" si="3"/>
        <v>0</v>
      </c>
      <c r="S36">
        <f t="shared" si="4"/>
        <v>0.945201654556617</v>
      </c>
      <c r="T36">
        <f t="shared" si="5"/>
        <v>0.0563569831878263</v>
      </c>
    </row>
    <row r="37" spans="1:20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>SUMPRODUCT(A$4:M$4,A37:M37)+N$4</f>
        <v>3.03819957185651</v>
      </c>
      <c r="P37">
        <f t="shared" si="1"/>
        <v>0.954270325511481</v>
      </c>
      <c r="Q37">
        <f t="shared" si="2"/>
        <v>1</v>
      </c>
      <c r="R37">
        <f t="shared" si="3"/>
        <v>0</v>
      </c>
      <c r="S37">
        <f t="shared" si="4"/>
        <v>0.954270325511481</v>
      </c>
      <c r="T37">
        <f t="shared" si="5"/>
        <v>0.046808287597806</v>
      </c>
    </row>
    <row r="38" spans="1:20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>SUMPRODUCT(A$4:M$4,A38:M38)+N$4</f>
        <v>-1.75722729637369</v>
      </c>
      <c r="P38">
        <f t="shared" si="1"/>
        <v>0.14713794154362</v>
      </c>
      <c r="Q38">
        <f t="shared" si="2"/>
        <v>0</v>
      </c>
      <c r="R38">
        <f t="shared" si="3"/>
        <v>0</v>
      </c>
      <c r="S38">
        <f t="shared" si="4"/>
        <v>0.85286205845638</v>
      </c>
      <c r="T38">
        <f t="shared" si="5"/>
        <v>0.159157457983215</v>
      </c>
    </row>
    <row r="39" spans="1:20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>SUMPRODUCT(A$4:M$4,A39:M39)+N$4</f>
        <v>-2.88394608643414</v>
      </c>
      <c r="P39">
        <f t="shared" si="1"/>
        <v>0.0529528951017704</v>
      </c>
      <c r="Q39">
        <f t="shared" si="2"/>
        <v>0</v>
      </c>
      <c r="R39">
        <f t="shared" si="3"/>
        <v>0</v>
      </c>
      <c r="S39">
        <f t="shared" si="4"/>
        <v>0.94704710489823</v>
      </c>
      <c r="T39">
        <f t="shared" si="5"/>
        <v>0.0544064458522976</v>
      </c>
    </row>
    <row r="40" spans="1:20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>SUMPRODUCT(A$4:M$4,A40:M40)+N$4</f>
        <v>-0.657692063331181</v>
      </c>
      <c r="P40">
        <f t="shared" si="1"/>
        <v>0.341258247908381</v>
      </c>
      <c r="Q40">
        <f t="shared" si="2"/>
        <v>0</v>
      </c>
      <c r="R40">
        <f t="shared" si="3"/>
        <v>1</v>
      </c>
      <c r="S40">
        <f t="shared" si="4"/>
        <v>0.341258247908381</v>
      </c>
      <c r="T40">
        <f t="shared" si="5"/>
        <v>1.07511576308016</v>
      </c>
    </row>
    <row r="41" spans="1:20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>SUMPRODUCT(A$4:M$4,A41:M41)+N$4</f>
        <v>-4.86769463603666</v>
      </c>
      <c r="P41">
        <f t="shared" si="1"/>
        <v>0.00763237442554476</v>
      </c>
      <c r="Q41">
        <f t="shared" si="2"/>
        <v>0</v>
      </c>
      <c r="R41">
        <f t="shared" si="3"/>
        <v>0</v>
      </c>
      <c r="S41">
        <f t="shared" si="4"/>
        <v>0.992367625574455</v>
      </c>
      <c r="T41">
        <f t="shared" si="5"/>
        <v>0.00766165005205788</v>
      </c>
    </row>
    <row r="42" spans="1:20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>SUMPRODUCT(A$4:M$4,A42:M42)+N$4</f>
        <v>-3.69085453391445</v>
      </c>
      <c r="P42">
        <f t="shared" si="1"/>
        <v>0.0243432902896935</v>
      </c>
      <c r="Q42">
        <f t="shared" si="2"/>
        <v>0</v>
      </c>
      <c r="R42">
        <f t="shared" si="3"/>
        <v>0</v>
      </c>
      <c r="S42">
        <f t="shared" si="4"/>
        <v>0.975656709710306</v>
      </c>
      <c r="T42">
        <f t="shared" si="5"/>
        <v>0.0246444862953961</v>
      </c>
    </row>
    <row r="43" spans="1:20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>SUMPRODUCT(A$4:M$4,A43:M43)+N$4</f>
        <v>-2.26145439986139</v>
      </c>
      <c r="P43">
        <f t="shared" si="1"/>
        <v>0.0943660010485262</v>
      </c>
      <c r="Q43">
        <f t="shared" si="2"/>
        <v>0</v>
      </c>
      <c r="R43">
        <f t="shared" si="3"/>
        <v>0</v>
      </c>
      <c r="S43">
        <f t="shared" si="4"/>
        <v>0.905633998951474</v>
      </c>
      <c r="T43">
        <f t="shared" si="5"/>
        <v>0.0991200292261534</v>
      </c>
    </row>
    <row r="44" spans="1:20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</v>
      </c>
      <c r="K44">
        <v>3</v>
      </c>
      <c r="L44">
        <v>1</v>
      </c>
      <c r="M44">
        <v>3</v>
      </c>
      <c r="N44">
        <v>1</v>
      </c>
      <c r="O44">
        <f>SUMPRODUCT(A$4:M$4,A44:M44)+N$4</f>
        <v>3.69944435315346</v>
      </c>
      <c r="P44">
        <f t="shared" si="1"/>
        <v>0.975859892468448</v>
      </c>
      <c r="Q44">
        <f t="shared" si="2"/>
        <v>1</v>
      </c>
      <c r="R44">
        <f t="shared" si="3"/>
        <v>0</v>
      </c>
      <c r="S44">
        <f t="shared" si="4"/>
        <v>0.975859892468448</v>
      </c>
      <c r="T44">
        <f t="shared" si="5"/>
        <v>0.0244362556724548</v>
      </c>
    </row>
    <row r="45" spans="1:20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>SUMPRODUCT(A$4:M$4,A45:M45)+N$4</f>
        <v>0.45131331778853</v>
      </c>
      <c r="P45">
        <f t="shared" si="1"/>
        <v>0.610951441610611</v>
      </c>
      <c r="Q45">
        <f t="shared" si="2"/>
        <v>1</v>
      </c>
      <c r="R45">
        <f t="shared" si="3"/>
        <v>0</v>
      </c>
      <c r="S45">
        <f t="shared" si="4"/>
        <v>0.610951441610611</v>
      </c>
      <c r="T45">
        <f t="shared" si="5"/>
        <v>0.492737796601126</v>
      </c>
    </row>
    <row r="46" spans="1:20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>SUMPRODUCT(A$4:M$4,A46:M46)+N$4</f>
        <v>-3.23438548985314</v>
      </c>
      <c r="P46">
        <f t="shared" si="1"/>
        <v>0.0378920442071793</v>
      </c>
      <c r="Q46">
        <f t="shared" si="2"/>
        <v>0</v>
      </c>
      <c r="R46">
        <f t="shared" si="3"/>
        <v>0</v>
      </c>
      <c r="S46">
        <f t="shared" si="4"/>
        <v>0.962107955792821</v>
      </c>
      <c r="T46">
        <f t="shared" si="5"/>
        <v>0.0386286144537843</v>
      </c>
    </row>
    <row r="47" spans="1:20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>SUMPRODUCT(A$4:M$4,A47:M47)+N$4</f>
        <v>-0.990283684302627</v>
      </c>
      <c r="P47">
        <f t="shared" si="1"/>
        <v>0.270856048330912</v>
      </c>
      <c r="Q47">
        <f t="shared" si="2"/>
        <v>0</v>
      </c>
      <c r="R47">
        <f t="shared" si="3"/>
        <v>0</v>
      </c>
      <c r="S47">
        <f t="shared" si="4"/>
        <v>0.729143951669088</v>
      </c>
      <c r="T47">
        <f t="shared" si="5"/>
        <v>0.315884101900391</v>
      </c>
    </row>
    <row r="48" spans="1:20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>SUMPRODUCT(A$4:M$4,A48:M48)+N$4</f>
        <v>-0.348038457741536</v>
      </c>
      <c r="P48">
        <f t="shared" si="1"/>
        <v>0.413858170649805</v>
      </c>
      <c r="Q48">
        <f t="shared" si="2"/>
        <v>0</v>
      </c>
      <c r="R48">
        <f t="shared" si="3"/>
        <v>0</v>
      </c>
      <c r="S48">
        <f t="shared" si="4"/>
        <v>0.586141829350195</v>
      </c>
      <c r="T48">
        <f t="shared" si="5"/>
        <v>0.534193489081724</v>
      </c>
    </row>
    <row r="49" spans="1:20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>SUMPRODUCT(A$4:M$4,A49:M49)+N$4</f>
        <v>3.79161169322087</v>
      </c>
      <c r="P49">
        <f t="shared" si="1"/>
        <v>0.977938476623403</v>
      </c>
      <c r="Q49">
        <f t="shared" si="2"/>
        <v>1</v>
      </c>
      <c r="R49">
        <f t="shared" si="3"/>
        <v>0</v>
      </c>
      <c r="S49">
        <f t="shared" si="4"/>
        <v>0.977938476623403</v>
      </c>
      <c r="T49">
        <f t="shared" si="5"/>
        <v>0.0223085182641028</v>
      </c>
    </row>
    <row r="50" spans="1:20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>SUMPRODUCT(A$4:M$4,A50:M50)+N$4</f>
        <v>1.72991867212411</v>
      </c>
      <c r="P50">
        <f t="shared" si="1"/>
        <v>0.849402017231813</v>
      </c>
      <c r="Q50">
        <f t="shared" si="2"/>
        <v>1</v>
      </c>
      <c r="R50">
        <f t="shared" si="3"/>
        <v>1</v>
      </c>
      <c r="S50">
        <f t="shared" si="4"/>
        <v>0.150597982768187</v>
      </c>
      <c r="T50">
        <f t="shared" si="5"/>
        <v>1.89314135833961</v>
      </c>
    </row>
    <row r="51" spans="1:20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>SUMPRODUCT(A$4:M$4,A51:M51)+N$4</f>
        <v>1.60689329632694</v>
      </c>
      <c r="P51">
        <f t="shared" si="1"/>
        <v>0.83297961459429</v>
      </c>
      <c r="Q51">
        <f t="shared" si="2"/>
        <v>1</v>
      </c>
      <c r="R51">
        <f t="shared" si="3"/>
        <v>1</v>
      </c>
      <c r="S51">
        <f t="shared" si="4"/>
        <v>0.16702038540571</v>
      </c>
      <c r="T51">
        <f t="shared" si="5"/>
        <v>1.78963940571745</v>
      </c>
    </row>
    <row r="52" spans="1:20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>SUMPRODUCT(A$4:M$4,A52:M52)+N$4</f>
        <v>4.78489384298933</v>
      </c>
      <c r="P52">
        <f t="shared" si="1"/>
        <v>0.99171421716</v>
      </c>
      <c r="Q52">
        <f t="shared" si="2"/>
        <v>1</v>
      </c>
      <c r="R52">
        <f t="shared" si="3"/>
        <v>0</v>
      </c>
      <c r="S52">
        <f t="shared" si="4"/>
        <v>0.99171421716</v>
      </c>
      <c r="T52">
        <f t="shared" si="5"/>
        <v>0.00832030074277438</v>
      </c>
    </row>
    <row r="53" spans="1:20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>SUMPRODUCT(A$4:M$4,A53:M53)+N$4</f>
        <v>-0.480289716554186</v>
      </c>
      <c r="P53">
        <f t="shared" si="1"/>
        <v>0.38218371521952</v>
      </c>
      <c r="Q53">
        <f t="shared" si="2"/>
        <v>0</v>
      </c>
      <c r="R53">
        <f t="shared" si="3"/>
        <v>0</v>
      </c>
      <c r="S53">
        <f t="shared" si="4"/>
        <v>0.61781628478048</v>
      </c>
      <c r="T53">
        <f t="shared" si="5"/>
        <v>0.48156413953706</v>
      </c>
    </row>
    <row r="54" spans="1:20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>SUMPRODUCT(A$4:M$4,A54:M54)+N$4</f>
        <v>-3.58984788814077</v>
      </c>
      <c r="P54">
        <f t="shared" si="1"/>
        <v>0.0268610946381998</v>
      </c>
      <c r="Q54">
        <f t="shared" si="2"/>
        <v>0</v>
      </c>
      <c r="R54">
        <f t="shared" si="3"/>
        <v>0</v>
      </c>
      <c r="S54">
        <f t="shared" si="4"/>
        <v>0.9731389053618</v>
      </c>
      <c r="T54">
        <f t="shared" si="5"/>
        <v>0.0272284471068335</v>
      </c>
    </row>
    <row r="55" spans="1:20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>SUMPRODUCT(A$4:M$4,A55:M55)+N$4</f>
        <v>-5.67359144065371</v>
      </c>
      <c r="P55">
        <f t="shared" si="1"/>
        <v>0.00342374239899621</v>
      </c>
      <c r="Q55">
        <f t="shared" si="2"/>
        <v>0</v>
      </c>
      <c r="R55">
        <f t="shared" si="3"/>
        <v>0</v>
      </c>
      <c r="S55">
        <f t="shared" si="4"/>
        <v>0.996576257601004</v>
      </c>
      <c r="T55">
        <f t="shared" si="5"/>
        <v>0.00342961681716584</v>
      </c>
    </row>
    <row r="56" spans="1:20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>SUMPRODUCT(A$4:M$4,A56:M56)+N$4</f>
        <v>-2.25744206877526</v>
      </c>
      <c r="P56">
        <f t="shared" si="1"/>
        <v>0.0947094576396335</v>
      </c>
      <c r="Q56">
        <f t="shared" si="2"/>
        <v>0</v>
      </c>
      <c r="R56">
        <f t="shared" si="3"/>
        <v>0</v>
      </c>
      <c r="S56">
        <f t="shared" si="4"/>
        <v>0.905290542360366</v>
      </c>
      <c r="T56">
        <f t="shared" si="5"/>
        <v>0.0994993455227635</v>
      </c>
    </row>
    <row r="57" spans="1:20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>SUMPRODUCT(A$4:M$4,A57:M57)+N$4</f>
        <v>1.79341160002202</v>
      </c>
      <c r="P57">
        <f t="shared" si="1"/>
        <v>0.857345039529689</v>
      </c>
      <c r="Q57">
        <f t="shared" si="2"/>
        <v>1</v>
      </c>
      <c r="R57">
        <f t="shared" si="3"/>
        <v>0</v>
      </c>
      <c r="S57">
        <f t="shared" si="4"/>
        <v>0.857345039529689</v>
      </c>
      <c r="T57">
        <f t="shared" si="5"/>
        <v>0.153914828191138</v>
      </c>
    </row>
    <row r="58" spans="1:20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>SUMPRODUCT(A$4:M$4,A58:M58)+N$4</f>
        <v>0.396389289826431</v>
      </c>
      <c r="P58">
        <f t="shared" si="1"/>
        <v>0.597819839903746</v>
      </c>
      <c r="Q58">
        <f t="shared" si="2"/>
        <v>1</v>
      </c>
      <c r="R58">
        <f t="shared" si="3"/>
        <v>0</v>
      </c>
      <c r="S58">
        <f t="shared" si="4"/>
        <v>0.597819839903746</v>
      </c>
      <c r="T58">
        <f t="shared" si="5"/>
        <v>0.514465841486718</v>
      </c>
    </row>
    <row r="59" spans="1:20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>SUMPRODUCT(A$4:M$4,A59:M59)+N$4</f>
        <v>2.27314915441869</v>
      </c>
      <c r="P59">
        <f t="shared" si="1"/>
        <v>0.906628714998335</v>
      </c>
      <c r="Q59">
        <f t="shared" si="2"/>
        <v>1</v>
      </c>
      <c r="R59">
        <f t="shared" si="3"/>
        <v>0</v>
      </c>
      <c r="S59">
        <f t="shared" si="4"/>
        <v>0.906628714998335</v>
      </c>
      <c r="T59">
        <f t="shared" si="5"/>
        <v>0.0980222676940123</v>
      </c>
    </row>
    <row r="60" spans="1:20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>SUMPRODUCT(A$4:M$4,A60:M60)+N$4</f>
        <v>2.14773377407763</v>
      </c>
      <c r="P60">
        <f t="shared" si="1"/>
        <v>0.895456816668476</v>
      </c>
      <c r="Q60">
        <f t="shared" si="2"/>
        <v>1</v>
      </c>
      <c r="R60">
        <f t="shared" si="3"/>
        <v>0</v>
      </c>
      <c r="S60">
        <f t="shared" si="4"/>
        <v>0.895456816668476</v>
      </c>
      <c r="T60">
        <f t="shared" si="5"/>
        <v>0.110421281236551</v>
      </c>
    </row>
    <row r="61" spans="1:20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>SUMPRODUCT(A$4:M$4,A61:M61)+N$4</f>
        <v>-1.6293563956957</v>
      </c>
      <c r="P61">
        <f t="shared" si="1"/>
        <v>0.163918547637237</v>
      </c>
      <c r="Q61">
        <f t="shared" si="2"/>
        <v>0</v>
      </c>
      <c r="R61">
        <f t="shared" si="3"/>
        <v>0</v>
      </c>
      <c r="S61">
        <f t="shared" si="4"/>
        <v>0.836081452362763</v>
      </c>
      <c r="T61">
        <f t="shared" si="5"/>
        <v>0.179029239587596</v>
      </c>
    </row>
    <row r="62" spans="1:20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>SUMPRODUCT(A$4:M$4,A62:M62)+N$4</f>
        <v>1.81005742645575</v>
      </c>
      <c r="P62">
        <f t="shared" si="1"/>
        <v>0.85936881462914</v>
      </c>
      <c r="Q62">
        <f t="shared" si="2"/>
        <v>1</v>
      </c>
      <c r="R62">
        <f t="shared" si="3"/>
        <v>0</v>
      </c>
      <c r="S62">
        <f t="shared" si="4"/>
        <v>0.85936881462914</v>
      </c>
      <c r="T62">
        <f t="shared" si="5"/>
        <v>0.151557095675558</v>
      </c>
    </row>
    <row r="63" spans="1:20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>SUMPRODUCT(A$4:M$4,A63:M63)+N$4</f>
        <v>0.735725315890717</v>
      </c>
      <c r="P63">
        <f t="shared" si="1"/>
        <v>0.676060394171821</v>
      </c>
      <c r="Q63">
        <f t="shared" si="2"/>
        <v>1</v>
      </c>
      <c r="R63">
        <f t="shared" si="3"/>
        <v>1</v>
      </c>
      <c r="S63">
        <f t="shared" si="4"/>
        <v>0.323939605828179</v>
      </c>
      <c r="T63">
        <f t="shared" si="5"/>
        <v>1.12719818232965</v>
      </c>
    </row>
    <row r="64" spans="1:20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>SUMPRODUCT(A$4:M$4,A64:M64)+N$4</f>
        <v>2.94371178424105</v>
      </c>
      <c r="P64">
        <f t="shared" si="1"/>
        <v>0.949965446935501</v>
      </c>
      <c r="Q64">
        <f t="shared" si="2"/>
        <v>1</v>
      </c>
      <c r="R64">
        <f t="shared" si="3"/>
        <v>0</v>
      </c>
      <c r="S64">
        <f t="shared" si="4"/>
        <v>0.949965446935501</v>
      </c>
      <c r="T64">
        <f t="shared" si="5"/>
        <v>0.0513296666958563</v>
      </c>
    </row>
    <row r="65" spans="1:20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</v>
      </c>
      <c r="K65">
        <v>2</v>
      </c>
      <c r="L65">
        <v>1</v>
      </c>
      <c r="M65">
        <v>6</v>
      </c>
      <c r="N65">
        <v>1</v>
      </c>
      <c r="O65">
        <f>SUMPRODUCT(A$4:M$4,A65:M65)+N$4</f>
        <v>0.581770762054814</v>
      </c>
      <c r="P65">
        <f t="shared" si="1"/>
        <v>0.641474756799092</v>
      </c>
      <c r="Q65">
        <f t="shared" si="2"/>
        <v>1</v>
      </c>
      <c r="R65">
        <f t="shared" si="3"/>
        <v>0</v>
      </c>
      <c r="S65">
        <f t="shared" si="4"/>
        <v>0.641474756799092</v>
      </c>
      <c r="T65">
        <f t="shared" si="5"/>
        <v>0.443985445974901</v>
      </c>
    </row>
    <row r="66" spans="1:20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>SUMPRODUCT(A$4:M$4,A66:M66)+N$4</f>
        <v>-2.70752051509668</v>
      </c>
      <c r="P66">
        <f t="shared" si="1"/>
        <v>0.0625310434826034</v>
      </c>
      <c r="Q66">
        <f t="shared" si="2"/>
        <v>0</v>
      </c>
      <c r="R66">
        <f t="shared" si="3"/>
        <v>0</v>
      </c>
      <c r="S66">
        <f t="shared" si="4"/>
        <v>0.937468956517397</v>
      </c>
      <c r="T66">
        <f t="shared" si="5"/>
        <v>0.0645716347339306</v>
      </c>
    </row>
    <row r="67" spans="1:20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</v>
      </c>
      <c r="K67">
        <v>3</v>
      </c>
      <c r="L67">
        <v>3</v>
      </c>
      <c r="M67">
        <v>6</v>
      </c>
      <c r="N67">
        <v>1</v>
      </c>
      <c r="O67">
        <f>SUMPRODUCT(A$4:M$4,A67:M67)+N$4</f>
        <v>6.0818625563831</v>
      </c>
      <c r="P67">
        <f t="shared" si="1"/>
        <v>0.997721285637081</v>
      </c>
      <c r="Q67">
        <f t="shared" si="2"/>
        <v>1</v>
      </c>
      <c r="R67">
        <f t="shared" si="3"/>
        <v>0</v>
      </c>
      <c r="S67">
        <f t="shared" si="4"/>
        <v>0.997721285637081</v>
      </c>
      <c r="T67">
        <f t="shared" si="5"/>
        <v>0.00228131458335003</v>
      </c>
    </row>
    <row r="68" spans="1:20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>SUMPRODUCT(A$4:M$4,A68:M68)+N$4</f>
        <v>0.921615904673223</v>
      </c>
      <c r="P68">
        <f t="shared" si="1"/>
        <v>0.715371242973506</v>
      </c>
      <c r="Q68">
        <f t="shared" si="2"/>
        <v>1</v>
      </c>
      <c r="R68">
        <f t="shared" si="3"/>
        <v>0</v>
      </c>
      <c r="S68">
        <f t="shared" si="4"/>
        <v>0.715371242973506</v>
      </c>
      <c r="T68">
        <f t="shared" si="5"/>
        <v>0.334953650094715</v>
      </c>
    </row>
    <row r="69" spans="1:20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>SUMPRODUCT(A$4:M$4,A69:M69)+N$4</f>
        <v>3.64396323599877</v>
      </c>
      <c r="P69">
        <f t="shared" si="1"/>
        <v>0.974517815412422</v>
      </c>
      <c r="Q69">
        <f t="shared" si="2"/>
        <v>1</v>
      </c>
      <c r="R69">
        <f t="shared" si="3"/>
        <v>0</v>
      </c>
      <c r="S69">
        <f t="shared" si="4"/>
        <v>0.974517815412422</v>
      </c>
      <c r="T69">
        <f t="shared" si="5"/>
        <v>0.0258124786085827</v>
      </c>
    </row>
    <row r="70" spans="1:20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>SUMPRODUCT(A$4:M$4,A70:M70)+N$4</f>
        <v>-2.24565575151189</v>
      </c>
      <c r="P70">
        <f t="shared" ref="P70:P133" si="6">1/(1+EXP(0-O70))</f>
        <v>0.0957248501441217</v>
      </c>
      <c r="Q70">
        <f t="shared" ref="Q70:Q133" si="7">IF(P70&lt;=0.5,0,1)</f>
        <v>0</v>
      </c>
      <c r="R70">
        <f t="shared" ref="R70:R133" si="8">IF(N70=Q70,0,1)</f>
        <v>1</v>
      </c>
      <c r="S70">
        <f t="shared" ref="S70:S133" si="9">IF(N70=1,P70,1-P70)</f>
        <v>0.0957248501441217</v>
      </c>
      <c r="T70">
        <f t="shared" si="5"/>
        <v>2.34627734710319</v>
      </c>
    </row>
    <row r="71" spans="1:20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>SUMPRODUCT(A$4:M$4,A71:M71)+N$4</f>
        <v>-4.27613233135068</v>
      </c>
      <c r="P71">
        <f t="shared" si="6"/>
        <v>0.0137058440026293</v>
      </c>
      <c r="Q71">
        <f t="shared" si="7"/>
        <v>0</v>
      </c>
      <c r="R71">
        <f t="shared" si="8"/>
        <v>0</v>
      </c>
      <c r="S71">
        <f t="shared" si="9"/>
        <v>0.986294155997371</v>
      </c>
      <c r="T71">
        <f t="shared" ref="T71:T134" si="10">IF(S71=0,100000,-LN(S71))</f>
        <v>0.0138006362173051</v>
      </c>
    </row>
    <row r="72" spans="1:20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>SUMPRODUCT(A$4:M$4,A72:M72)+N$4</f>
        <v>3.12942469630012</v>
      </c>
      <c r="P72">
        <f t="shared" si="6"/>
        <v>0.958090298699593</v>
      </c>
      <c r="Q72">
        <f t="shared" si="7"/>
        <v>1</v>
      </c>
      <c r="R72">
        <f t="shared" si="8"/>
        <v>0</v>
      </c>
      <c r="S72">
        <f t="shared" si="9"/>
        <v>0.958090298699593</v>
      </c>
      <c r="T72">
        <f t="shared" si="10"/>
        <v>0.0428132479380041</v>
      </c>
    </row>
    <row r="73" spans="1:20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>SUMPRODUCT(A$4:M$4,A73:M73)+N$4</f>
        <v>-2.42712806883854</v>
      </c>
      <c r="P73">
        <f t="shared" si="6"/>
        <v>0.0811272998404503</v>
      </c>
      <c r="Q73">
        <f t="shared" si="7"/>
        <v>0</v>
      </c>
      <c r="R73">
        <f t="shared" si="8"/>
        <v>0</v>
      </c>
      <c r="S73">
        <f t="shared" si="9"/>
        <v>0.91887270015955</v>
      </c>
      <c r="T73">
        <f t="shared" si="10"/>
        <v>0.0846076861781897</v>
      </c>
    </row>
    <row r="74" spans="1:20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>SUMPRODUCT(A$4:M$4,A74:M74)+N$4</f>
        <v>-1.49110295387385</v>
      </c>
      <c r="P74">
        <f t="shared" si="6"/>
        <v>0.183756237790778</v>
      </c>
      <c r="Q74">
        <f t="shared" si="7"/>
        <v>0</v>
      </c>
      <c r="R74">
        <f t="shared" si="8"/>
        <v>0</v>
      </c>
      <c r="S74">
        <f t="shared" si="9"/>
        <v>0.816243762209222</v>
      </c>
      <c r="T74">
        <f t="shared" si="10"/>
        <v>0.203042240430838</v>
      </c>
    </row>
    <row r="75" spans="1:20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>SUMPRODUCT(A$4:M$4,A75:M75)+N$4</f>
        <v>-3.17492352605285</v>
      </c>
      <c r="P75">
        <f t="shared" si="6"/>
        <v>0.0401203769221781</v>
      </c>
      <c r="Q75">
        <f t="shared" si="7"/>
        <v>0</v>
      </c>
      <c r="R75">
        <f t="shared" si="8"/>
        <v>0</v>
      </c>
      <c r="S75">
        <f t="shared" si="9"/>
        <v>0.959879623077822</v>
      </c>
      <c r="T75">
        <f t="shared" si="10"/>
        <v>0.0409473950098367</v>
      </c>
    </row>
    <row r="76" spans="1:20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>SUMPRODUCT(A$4:M$4,A76:M76)+N$4</f>
        <v>-4.63855867875284</v>
      </c>
      <c r="P76">
        <f t="shared" si="6"/>
        <v>0.00957898315167777</v>
      </c>
      <c r="Q76">
        <f t="shared" si="7"/>
        <v>0</v>
      </c>
      <c r="R76">
        <f t="shared" si="8"/>
        <v>0</v>
      </c>
      <c r="S76">
        <f t="shared" si="9"/>
        <v>0.990421016848322</v>
      </c>
      <c r="T76">
        <f t="shared" si="10"/>
        <v>0.00962515671120501</v>
      </c>
    </row>
    <row r="77" spans="1:20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>SUMPRODUCT(A$4:M$4,A77:M77)+N$4</f>
        <v>-2.23865090845909</v>
      </c>
      <c r="P77">
        <f t="shared" si="6"/>
        <v>0.0963329200861372</v>
      </c>
      <c r="Q77">
        <f t="shared" si="7"/>
        <v>0</v>
      </c>
      <c r="R77">
        <f t="shared" si="8"/>
        <v>1</v>
      </c>
      <c r="S77">
        <f t="shared" si="9"/>
        <v>0.0963329200861372</v>
      </c>
      <c r="T77">
        <f t="shared" si="10"/>
        <v>2.3399451693103</v>
      </c>
    </row>
    <row r="78" spans="1:20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>SUMPRODUCT(A$4:M$4,A78:M78)+N$4</f>
        <v>2.02876404189131</v>
      </c>
      <c r="P78">
        <f t="shared" si="6"/>
        <v>0.883784193255872</v>
      </c>
      <c r="Q78">
        <f t="shared" si="7"/>
        <v>1</v>
      </c>
      <c r="R78">
        <f t="shared" si="8"/>
        <v>0</v>
      </c>
      <c r="S78">
        <f t="shared" si="9"/>
        <v>0.883784193255872</v>
      </c>
      <c r="T78">
        <f t="shared" si="10"/>
        <v>0.123542371424083</v>
      </c>
    </row>
    <row r="79" spans="1:20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>SUMPRODUCT(A$4:M$4,A79:M79)+N$4</f>
        <v>1.98951074611066</v>
      </c>
      <c r="P79">
        <f t="shared" si="6"/>
        <v>0.879691367226471</v>
      </c>
      <c r="Q79">
        <f t="shared" si="7"/>
        <v>1</v>
      </c>
      <c r="R79">
        <f t="shared" si="8"/>
        <v>0</v>
      </c>
      <c r="S79">
        <f t="shared" si="9"/>
        <v>0.879691367226471</v>
      </c>
      <c r="T79">
        <f t="shared" si="10"/>
        <v>0.128184152087027</v>
      </c>
    </row>
    <row r="80" spans="1:20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>SUMPRODUCT(A$4:M$4,A80:M80)+N$4</f>
        <v>2.00894384839324</v>
      </c>
      <c r="P80">
        <f t="shared" si="6"/>
        <v>0.88173293112902</v>
      </c>
      <c r="Q80">
        <f t="shared" si="7"/>
        <v>1</v>
      </c>
      <c r="R80">
        <f t="shared" si="8"/>
        <v>0</v>
      </c>
      <c r="S80">
        <f t="shared" si="9"/>
        <v>0.88173293112902</v>
      </c>
      <c r="T80">
        <f t="shared" si="10"/>
        <v>0.125866068001718</v>
      </c>
    </row>
    <row r="81" spans="1:20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>SUMPRODUCT(A$4:M$4,A81:M81)+N$4</f>
        <v>0.175722392677029</v>
      </c>
      <c r="P81">
        <f t="shared" si="6"/>
        <v>0.543817904071187</v>
      </c>
      <c r="Q81">
        <f t="shared" si="7"/>
        <v>1</v>
      </c>
      <c r="R81">
        <f t="shared" si="8"/>
        <v>1</v>
      </c>
      <c r="S81">
        <f t="shared" si="9"/>
        <v>0.456182095928813</v>
      </c>
      <c r="T81">
        <f t="shared" si="10"/>
        <v>0.784863216002803</v>
      </c>
    </row>
    <row r="82" spans="1:20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>SUMPRODUCT(A$4:M$4,A82:M82)+N$4</f>
        <v>-2.38707802488359</v>
      </c>
      <c r="P82">
        <f t="shared" si="6"/>
        <v>0.0841633839816973</v>
      </c>
      <c r="Q82">
        <f t="shared" si="7"/>
        <v>0</v>
      </c>
      <c r="R82">
        <f t="shared" si="8"/>
        <v>0</v>
      </c>
      <c r="S82">
        <f t="shared" si="9"/>
        <v>0.915836616018303</v>
      </c>
      <c r="T82">
        <f t="shared" si="10"/>
        <v>0.0879172970095009</v>
      </c>
    </row>
    <row r="83" spans="1:20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>SUMPRODUCT(A$4:M$4,A83:M83)+N$4</f>
        <v>5.4359682590472</v>
      </c>
      <c r="P83">
        <f t="shared" si="6"/>
        <v>0.99566188696076</v>
      </c>
      <c r="Q83">
        <f t="shared" si="7"/>
        <v>1</v>
      </c>
      <c r="R83">
        <f t="shared" si="8"/>
        <v>0</v>
      </c>
      <c r="S83">
        <f t="shared" si="9"/>
        <v>0.99566188696076</v>
      </c>
      <c r="T83">
        <f t="shared" si="10"/>
        <v>0.00434754995376759</v>
      </c>
    </row>
    <row r="84" spans="1:20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>SUMPRODUCT(A$4:M$4,A84:M84)+N$4</f>
        <v>-2.73453609001823</v>
      </c>
      <c r="P84">
        <f t="shared" si="6"/>
        <v>0.0609659579525425</v>
      </c>
      <c r="Q84">
        <f t="shared" si="7"/>
        <v>0</v>
      </c>
      <c r="R84">
        <f t="shared" si="8"/>
        <v>0</v>
      </c>
      <c r="S84">
        <f t="shared" si="9"/>
        <v>0.939034042047458</v>
      </c>
      <c r="T84">
        <f t="shared" si="10"/>
        <v>0.0629035469193474</v>
      </c>
    </row>
    <row r="85" spans="1:20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>SUMPRODUCT(A$4:M$4,A85:M85)+N$4</f>
        <v>-1.56426879985768</v>
      </c>
      <c r="P85">
        <f t="shared" si="6"/>
        <v>0.173034955133168</v>
      </c>
      <c r="Q85">
        <f t="shared" si="7"/>
        <v>0</v>
      </c>
      <c r="R85">
        <f t="shared" si="8"/>
        <v>0</v>
      </c>
      <c r="S85">
        <f t="shared" si="9"/>
        <v>0.826965044866832</v>
      </c>
      <c r="T85">
        <f t="shared" si="10"/>
        <v>0.189992852243718</v>
      </c>
    </row>
    <row r="86" spans="1:20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>SUMPRODUCT(A$4:M$4,A86:M86)+N$4</f>
        <v>1.89815385760568</v>
      </c>
      <c r="P86">
        <f t="shared" si="6"/>
        <v>0.869682436040043</v>
      </c>
      <c r="Q86">
        <f t="shared" si="7"/>
        <v>1</v>
      </c>
      <c r="R86">
        <f t="shared" si="8"/>
        <v>0</v>
      </c>
      <c r="S86">
        <f t="shared" si="9"/>
        <v>0.869682436040043</v>
      </c>
      <c r="T86">
        <f t="shared" si="10"/>
        <v>0.139627150014007</v>
      </c>
    </row>
    <row r="87" spans="1:20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</v>
      </c>
      <c r="K87">
        <v>2</v>
      </c>
      <c r="L87">
        <v>1</v>
      </c>
      <c r="M87">
        <v>7</v>
      </c>
      <c r="N87">
        <v>1</v>
      </c>
      <c r="O87">
        <f>SUMPRODUCT(A$4:M$4,A87:M87)+N$4</f>
        <v>4.06548338180469</v>
      </c>
      <c r="P87">
        <f t="shared" si="6"/>
        <v>0.983134625356415</v>
      </c>
      <c r="Q87">
        <f t="shared" si="7"/>
        <v>1</v>
      </c>
      <c r="R87">
        <f t="shared" si="8"/>
        <v>0</v>
      </c>
      <c r="S87">
        <f t="shared" si="9"/>
        <v>0.983134625356415</v>
      </c>
      <c r="T87">
        <f t="shared" si="10"/>
        <v>0.0170092146451996</v>
      </c>
    </row>
    <row r="88" spans="1:20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>SUMPRODUCT(A$4:M$4,A88:M88)+N$4</f>
        <v>0.980775279808739</v>
      </c>
      <c r="P88">
        <f t="shared" si="6"/>
        <v>0.727262021712717</v>
      </c>
      <c r="Q88">
        <f t="shared" si="7"/>
        <v>1</v>
      </c>
      <c r="R88">
        <f t="shared" si="8"/>
        <v>0</v>
      </c>
      <c r="S88">
        <f t="shared" si="9"/>
        <v>0.727262021712717</v>
      </c>
      <c r="T88">
        <f t="shared" si="10"/>
        <v>0.318468451371891</v>
      </c>
    </row>
    <row r="89" spans="1:20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>SUMPRODUCT(A$4:M$4,A89:M89)+N$4</f>
        <v>0.902646797042827</v>
      </c>
      <c r="P89">
        <f t="shared" si="6"/>
        <v>0.711493116391826</v>
      </c>
      <c r="Q89">
        <f t="shared" si="7"/>
        <v>1</v>
      </c>
      <c r="R89">
        <f t="shared" si="8"/>
        <v>1</v>
      </c>
      <c r="S89">
        <f t="shared" si="9"/>
        <v>0.288506883608174</v>
      </c>
      <c r="T89">
        <f t="shared" si="10"/>
        <v>1.24303633332496</v>
      </c>
    </row>
    <row r="90" spans="1:20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>SUMPRODUCT(A$4:M$4,A90:M90)+N$4</f>
        <v>-0.674346487831784</v>
      </c>
      <c r="P90">
        <f t="shared" si="6"/>
        <v>0.337524273702189</v>
      </c>
      <c r="Q90">
        <f t="shared" si="7"/>
        <v>0</v>
      </c>
      <c r="R90">
        <f t="shared" si="8"/>
        <v>1</v>
      </c>
      <c r="S90">
        <f t="shared" si="9"/>
        <v>0.337524273702189</v>
      </c>
      <c r="T90">
        <f t="shared" si="10"/>
        <v>1.08611784917526</v>
      </c>
    </row>
    <row r="91" spans="1:20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>SUMPRODUCT(A$4:M$4,A91:M91)+N$4</f>
        <v>-0.356246828536554</v>
      </c>
      <c r="P91">
        <f t="shared" si="6"/>
        <v>0.411868405570167</v>
      </c>
      <c r="Q91">
        <f t="shared" si="7"/>
        <v>0</v>
      </c>
      <c r="R91">
        <f t="shared" si="8"/>
        <v>0</v>
      </c>
      <c r="S91">
        <f t="shared" si="9"/>
        <v>0.588131594429833</v>
      </c>
      <c r="T91">
        <f t="shared" si="10"/>
        <v>0.53080455607227</v>
      </c>
    </row>
    <row r="92" spans="1:20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>SUMPRODUCT(A$4:M$4,A92:M92)+N$4</f>
        <v>-0.701966550279552</v>
      </c>
      <c r="P92">
        <f t="shared" si="6"/>
        <v>0.33137636262164</v>
      </c>
      <c r="Q92">
        <f t="shared" si="7"/>
        <v>0</v>
      </c>
      <c r="R92">
        <f t="shared" si="8"/>
        <v>0</v>
      </c>
      <c r="S92">
        <f t="shared" si="9"/>
        <v>0.66862363737836</v>
      </c>
      <c r="T92">
        <f t="shared" si="10"/>
        <v>0.402533952078793</v>
      </c>
    </row>
    <row r="93" spans="1:20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>SUMPRODUCT(A$4:M$4,A93:M93)+N$4</f>
        <v>-2.69807964663687</v>
      </c>
      <c r="P93">
        <f t="shared" si="6"/>
        <v>0.0630867668607794</v>
      </c>
      <c r="Q93">
        <f t="shared" si="7"/>
        <v>0</v>
      </c>
      <c r="R93">
        <f t="shared" si="8"/>
        <v>0</v>
      </c>
      <c r="S93">
        <f t="shared" si="9"/>
        <v>0.936913233139221</v>
      </c>
      <c r="T93">
        <f t="shared" si="10"/>
        <v>0.0651646017366323</v>
      </c>
    </row>
    <row r="94" spans="1:20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>SUMPRODUCT(A$4:M$4,A94:M94)+N$4</f>
        <v>-2.21274741662547</v>
      </c>
      <c r="P94">
        <f t="shared" si="6"/>
        <v>0.0986115931494601</v>
      </c>
      <c r="Q94">
        <f t="shared" si="7"/>
        <v>0</v>
      </c>
      <c r="R94">
        <f t="shared" si="8"/>
        <v>0</v>
      </c>
      <c r="S94">
        <f t="shared" si="9"/>
        <v>0.90138840685054</v>
      </c>
      <c r="T94">
        <f t="shared" si="10"/>
        <v>0.103819030079053</v>
      </c>
    </row>
    <row r="95" spans="1:20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>SUMPRODUCT(A$4:M$4,A95:M95)+N$4</f>
        <v>-4.02275354402398</v>
      </c>
      <c r="P95">
        <f t="shared" si="6"/>
        <v>0.0175886976734345</v>
      </c>
      <c r="Q95">
        <f t="shared" si="7"/>
        <v>0</v>
      </c>
      <c r="R95">
        <f t="shared" si="8"/>
        <v>0</v>
      </c>
      <c r="S95">
        <f t="shared" si="9"/>
        <v>0.982411302326565</v>
      </c>
      <c r="T95">
        <f t="shared" si="10"/>
        <v>0.0177452168441955</v>
      </c>
    </row>
    <row r="96" spans="1:20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>SUMPRODUCT(A$4:M$4,A96:M96)+N$4</f>
        <v>-2.43806603512085</v>
      </c>
      <c r="P96">
        <f t="shared" si="6"/>
        <v>0.0803156486788758</v>
      </c>
      <c r="Q96">
        <f t="shared" si="7"/>
        <v>0</v>
      </c>
      <c r="R96">
        <f t="shared" si="8"/>
        <v>0</v>
      </c>
      <c r="S96">
        <f t="shared" si="9"/>
        <v>0.919684351321124</v>
      </c>
      <c r="T96">
        <f t="shared" si="10"/>
        <v>0.0837247642001658</v>
      </c>
    </row>
    <row r="97" spans="1:20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>SUMPRODUCT(A$4:M$4,A97:M97)+N$4</f>
        <v>2.58872734696927</v>
      </c>
      <c r="P97">
        <f t="shared" si="6"/>
        <v>0.930132557775198</v>
      </c>
      <c r="Q97">
        <f t="shared" si="7"/>
        <v>1</v>
      </c>
      <c r="R97">
        <f t="shared" si="8"/>
        <v>0</v>
      </c>
      <c r="S97">
        <f t="shared" si="9"/>
        <v>0.930132557775198</v>
      </c>
      <c r="T97">
        <f t="shared" si="10"/>
        <v>0.0724281677498698</v>
      </c>
    </row>
    <row r="98" spans="1:20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>SUMPRODUCT(A$4:M$4,A98:M98)+N$4</f>
        <v>-2.05860211150349</v>
      </c>
      <c r="P98">
        <f t="shared" si="6"/>
        <v>0.11318606725169</v>
      </c>
      <c r="Q98">
        <f t="shared" si="7"/>
        <v>0</v>
      </c>
      <c r="R98">
        <f t="shared" si="8"/>
        <v>0</v>
      </c>
      <c r="S98">
        <f t="shared" si="9"/>
        <v>0.88681393274831</v>
      </c>
      <c r="T98">
        <f t="shared" si="10"/>
        <v>0.120120090100084</v>
      </c>
    </row>
    <row r="99" spans="1:20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>SUMPRODUCT(A$4:M$4,A99:M99)+N$4</f>
        <v>-2.54691605991106</v>
      </c>
      <c r="P99">
        <f t="shared" si="6"/>
        <v>0.0726339405884484</v>
      </c>
      <c r="Q99">
        <f t="shared" si="7"/>
        <v>0</v>
      </c>
      <c r="R99">
        <f t="shared" si="8"/>
        <v>0</v>
      </c>
      <c r="S99">
        <f t="shared" si="9"/>
        <v>0.927366059411552</v>
      </c>
      <c r="T99">
        <f t="shared" si="10"/>
        <v>0.0754069052666734</v>
      </c>
    </row>
    <row r="100" spans="1:20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>SUMPRODUCT(A$4:M$4,A100:M100)+N$4</f>
        <v>1.33471311715945</v>
      </c>
      <c r="P100">
        <f t="shared" si="6"/>
        <v>0.791619170995027</v>
      </c>
      <c r="Q100">
        <f t="shared" si="7"/>
        <v>1</v>
      </c>
      <c r="R100">
        <f t="shared" si="8"/>
        <v>0</v>
      </c>
      <c r="S100">
        <f t="shared" si="9"/>
        <v>0.791619170995027</v>
      </c>
      <c r="T100">
        <f t="shared" si="10"/>
        <v>0.233674847513846</v>
      </c>
    </row>
    <row r="101" spans="1:20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>SUMPRODUCT(A$4:M$4,A101:M101)+N$4</f>
        <v>1.2278876668255</v>
      </c>
      <c r="P101">
        <f t="shared" si="6"/>
        <v>0.773448652736246</v>
      </c>
      <c r="Q101">
        <f t="shared" si="7"/>
        <v>1</v>
      </c>
      <c r="R101">
        <f t="shared" si="8"/>
        <v>0</v>
      </c>
      <c r="S101">
        <f t="shared" si="9"/>
        <v>0.773448652736246</v>
      </c>
      <c r="T101">
        <f t="shared" si="10"/>
        <v>0.256895994189602</v>
      </c>
    </row>
    <row r="102" spans="1:20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>SUMPRODUCT(A$4:M$4,A102:M102)+N$4</f>
        <v>1.35701743840801</v>
      </c>
      <c r="P102">
        <f t="shared" si="6"/>
        <v>0.795274525689474</v>
      </c>
      <c r="Q102">
        <f t="shared" si="7"/>
        <v>1</v>
      </c>
      <c r="R102">
        <f t="shared" si="8"/>
        <v>0</v>
      </c>
      <c r="S102">
        <f t="shared" si="9"/>
        <v>0.795274525689474</v>
      </c>
      <c r="T102">
        <f t="shared" si="10"/>
        <v>0.229067908602751</v>
      </c>
    </row>
    <row r="103" spans="1:20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>SUMPRODUCT(A$4:M$4,A103:M103)+N$4</f>
        <v>-2.83729609136174</v>
      </c>
      <c r="P103">
        <f t="shared" si="6"/>
        <v>0.0553417256357719</v>
      </c>
      <c r="Q103">
        <f t="shared" si="7"/>
        <v>0</v>
      </c>
      <c r="R103">
        <f t="shared" si="8"/>
        <v>0</v>
      </c>
      <c r="S103">
        <f t="shared" si="9"/>
        <v>0.944658274364228</v>
      </c>
      <c r="T103">
        <f t="shared" si="10"/>
        <v>0.0569320313160468</v>
      </c>
    </row>
    <row r="104" spans="1:20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>SUMPRODUCT(A$4:M$4,A104:M104)+N$4</f>
        <v>-1.62351246813364</v>
      </c>
      <c r="P104">
        <f t="shared" si="6"/>
        <v>0.164721027384808</v>
      </c>
      <c r="Q104">
        <f t="shared" si="7"/>
        <v>0</v>
      </c>
      <c r="R104">
        <f t="shared" si="8"/>
        <v>0</v>
      </c>
      <c r="S104">
        <f t="shared" si="9"/>
        <v>0.835278972615192</v>
      </c>
      <c r="T104">
        <f t="shared" si="10"/>
        <v>0.179989510989555</v>
      </c>
    </row>
    <row r="105" spans="1:20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>SUMPRODUCT(A$4:M$4,A105:M105)+N$4</f>
        <v>4.13351856624986</v>
      </c>
      <c r="P105">
        <f t="shared" si="6"/>
        <v>0.9842264042046</v>
      </c>
      <c r="Q105">
        <f t="shared" si="7"/>
        <v>1</v>
      </c>
      <c r="R105">
        <f t="shared" si="8"/>
        <v>0</v>
      </c>
      <c r="S105">
        <f t="shared" si="9"/>
        <v>0.9842264042046</v>
      </c>
      <c r="T105">
        <f t="shared" si="10"/>
        <v>0.0158993228217289</v>
      </c>
    </row>
    <row r="106" spans="1:20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>SUMPRODUCT(A$4:M$4,A106:M106)+N$4</f>
        <v>7.2046320023958</v>
      </c>
      <c r="P106">
        <f t="shared" si="6"/>
        <v>0.999257416222517</v>
      </c>
      <c r="Q106">
        <f t="shared" si="7"/>
        <v>1</v>
      </c>
      <c r="R106">
        <f t="shared" si="8"/>
        <v>0</v>
      </c>
      <c r="S106">
        <f t="shared" si="9"/>
        <v>0.999257416222517</v>
      </c>
      <c r="T106">
        <f t="shared" si="10"/>
        <v>0.000742859629386996</v>
      </c>
    </row>
    <row r="107" spans="1:20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>SUMPRODUCT(A$4:M$4,A107:M107)+N$4</f>
        <v>2.86664298452862</v>
      </c>
      <c r="P107">
        <f t="shared" si="6"/>
        <v>0.946172631112621</v>
      </c>
      <c r="Q107">
        <f t="shared" si="7"/>
        <v>1</v>
      </c>
      <c r="R107">
        <f t="shared" si="8"/>
        <v>0</v>
      </c>
      <c r="S107">
        <f t="shared" si="9"/>
        <v>0.946172631112621</v>
      </c>
      <c r="T107">
        <f t="shared" si="10"/>
        <v>0.0553302412587842</v>
      </c>
    </row>
    <row r="108" spans="1:20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>SUMPRODUCT(A$4:M$4,A108:M108)+N$4</f>
        <v>1.43491419134431</v>
      </c>
      <c r="P108">
        <f t="shared" si="6"/>
        <v>0.807665849110065</v>
      </c>
      <c r="Q108">
        <f t="shared" si="7"/>
        <v>1</v>
      </c>
      <c r="R108">
        <f t="shared" si="8"/>
        <v>0</v>
      </c>
      <c r="S108">
        <f t="shared" si="9"/>
        <v>0.807665849110065</v>
      </c>
      <c r="T108">
        <f t="shared" si="10"/>
        <v>0.213606859079304</v>
      </c>
    </row>
    <row r="109" spans="1:20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>SUMPRODUCT(A$4:M$4,A109:M109)+N$4</f>
        <v>-0.179981028637668</v>
      </c>
      <c r="P109">
        <f t="shared" si="6"/>
        <v>0.455125812260503</v>
      </c>
      <c r="Q109">
        <f t="shared" si="7"/>
        <v>0</v>
      </c>
      <c r="R109">
        <f t="shared" si="8"/>
        <v>0</v>
      </c>
      <c r="S109">
        <f t="shared" si="9"/>
        <v>0.544874187739497</v>
      </c>
      <c r="T109">
        <f t="shared" si="10"/>
        <v>0.607200359152846</v>
      </c>
    </row>
    <row r="110" spans="1:20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>SUMPRODUCT(A$4:M$4,A110:M110)+N$4</f>
        <v>-3.26405917330696</v>
      </c>
      <c r="P110">
        <f t="shared" si="6"/>
        <v>0.0368249639427592</v>
      </c>
      <c r="Q110">
        <f t="shared" si="7"/>
        <v>0</v>
      </c>
      <c r="R110">
        <f t="shared" si="8"/>
        <v>0</v>
      </c>
      <c r="S110">
        <f t="shared" si="9"/>
        <v>0.963175036057241</v>
      </c>
      <c r="T110">
        <f t="shared" si="10"/>
        <v>0.0375201224781088</v>
      </c>
    </row>
    <row r="111" spans="1:20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>SUMPRODUCT(A$4:M$4,A111:M111)+N$4</f>
        <v>-0.306587790529042</v>
      </c>
      <c r="P111">
        <f t="shared" si="6"/>
        <v>0.423947838247971</v>
      </c>
      <c r="Q111">
        <f t="shared" si="7"/>
        <v>0</v>
      </c>
      <c r="R111">
        <f t="shared" si="8"/>
        <v>0</v>
      </c>
      <c r="S111">
        <f t="shared" si="9"/>
        <v>0.576052161752029</v>
      </c>
      <c r="T111">
        <f t="shared" si="10"/>
        <v>0.551557063789156</v>
      </c>
    </row>
    <row r="112" spans="1:20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>SUMPRODUCT(A$4:M$4,A112:M112)+N$4</f>
        <v>-1.57198723494442</v>
      </c>
      <c r="P112">
        <f t="shared" si="6"/>
        <v>0.171933280188398</v>
      </c>
      <c r="Q112">
        <f t="shared" si="7"/>
        <v>0</v>
      </c>
      <c r="R112">
        <f t="shared" si="8"/>
        <v>0</v>
      </c>
      <c r="S112">
        <f t="shared" si="9"/>
        <v>0.828066719811602</v>
      </c>
      <c r="T112">
        <f t="shared" si="10"/>
        <v>0.188661548360618</v>
      </c>
    </row>
    <row r="113" spans="1:20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>SUMPRODUCT(A$4:M$4,A113:M113)+N$4</f>
        <v>-2.33216215187872</v>
      </c>
      <c r="P113">
        <f t="shared" si="6"/>
        <v>0.0884941025764625</v>
      </c>
      <c r="Q113">
        <f t="shared" si="7"/>
        <v>0</v>
      </c>
      <c r="R113">
        <f t="shared" si="8"/>
        <v>0</v>
      </c>
      <c r="S113">
        <f t="shared" si="9"/>
        <v>0.911505897423537</v>
      </c>
      <c r="T113">
        <f t="shared" si="10"/>
        <v>0.0926572148640125</v>
      </c>
    </row>
    <row r="114" spans="1:20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>SUMPRODUCT(A$4:M$4,A114:M114)+N$4</f>
        <v>0.627376383146325</v>
      </c>
      <c r="P114">
        <f t="shared" si="6"/>
        <v>0.651894327280102</v>
      </c>
      <c r="Q114">
        <f t="shared" si="7"/>
        <v>1</v>
      </c>
      <c r="R114">
        <f t="shared" si="8"/>
        <v>0</v>
      </c>
      <c r="S114">
        <f t="shared" si="9"/>
        <v>0.651894327280102</v>
      </c>
      <c r="T114">
        <f t="shared" si="10"/>
        <v>0.427872804914781</v>
      </c>
    </row>
    <row r="115" spans="1:20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>SUMPRODUCT(A$4:M$4,A115:M115)+N$4</f>
        <v>-3.98150821011209</v>
      </c>
      <c r="P115">
        <f t="shared" si="6"/>
        <v>0.0183157529384558</v>
      </c>
      <c r="Q115">
        <f t="shared" si="7"/>
        <v>0</v>
      </c>
      <c r="R115">
        <f t="shared" si="8"/>
        <v>0</v>
      </c>
      <c r="S115">
        <f t="shared" si="9"/>
        <v>0.981684247061544</v>
      </c>
      <c r="T115">
        <f t="shared" si="10"/>
        <v>0.0184855630034818</v>
      </c>
    </row>
    <row r="116" spans="1:20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>SUMPRODUCT(A$4:M$4,A116:M116)+N$4</f>
        <v>0.291935351259662</v>
      </c>
      <c r="P116">
        <f t="shared" si="6"/>
        <v>0.572469872805446</v>
      </c>
      <c r="Q116">
        <f t="shared" si="7"/>
        <v>1</v>
      </c>
      <c r="R116">
        <f t="shared" si="8"/>
        <v>0</v>
      </c>
      <c r="S116">
        <f t="shared" si="9"/>
        <v>0.572469872805446</v>
      </c>
      <c r="T116">
        <f t="shared" si="10"/>
        <v>0.557795168859047</v>
      </c>
    </row>
    <row r="117" spans="1:20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>SUMPRODUCT(A$4:M$4,A117:M117)+N$4</f>
        <v>-0.711257672931477</v>
      </c>
      <c r="P117">
        <f t="shared" si="6"/>
        <v>0.329321000028091</v>
      </c>
      <c r="Q117">
        <f t="shared" si="7"/>
        <v>0</v>
      </c>
      <c r="R117">
        <f t="shared" si="8"/>
        <v>0</v>
      </c>
      <c r="S117">
        <f t="shared" si="9"/>
        <v>0.670678999971909</v>
      </c>
      <c r="T117">
        <f t="shared" si="10"/>
        <v>0.399464646979561</v>
      </c>
    </row>
    <row r="118" spans="1:20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>SUMPRODUCT(A$4:M$4,A118:M118)+N$4</f>
        <v>4.31182040208054</v>
      </c>
      <c r="P118">
        <f t="shared" si="6"/>
        <v>0.98676830793442</v>
      </c>
      <c r="Q118">
        <f t="shared" si="7"/>
        <v>1</v>
      </c>
      <c r="R118">
        <f t="shared" si="8"/>
        <v>0</v>
      </c>
      <c r="S118">
        <f t="shared" si="9"/>
        <v>0.98676830793442</v>
      </c>
      <c r="T118">
        <f t="shared" si="10"/>
        <v>0.0133200108394015</v>
      </c>
    </row>
    <row r="119" spans="1:20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>SUMPRODUCT(A$4:M$4,A119:M119)+N$4</f>
        <v>3.84717750390225</v>
      </c>
      <c r="P119">
        <f t="shared" si="6"/>
        <v>0.97910599242869</v>
      </c>
      <c r="Q119">
        <f t="shared" si="7"/>
        <v>1</v>
      </c>
      <c r="R119">
        <f t="shared" si="8"/>
        <v>0</v>
      </c>
      <c r="S119">
        <f t="shared" si="9"/>
        <v>0.97910599242869</v>
      </c>
      <c r="T119">
        <f t="shared" si="10"/>
        <v>0.0211153762969638</v>
      </c>
    </row>
    <row r="120" spans="1:20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>SUMPRODUCT(A$4:M$4,A120:M120)+N$4</f>
        <v>0.429935212094856</v>
      </c>
      <c r="P120">
        <f t="shared" si="6"/>
        <v>0.605858197572128</v>
      </c>
      <c r="Q120">
        <f t="shared" si="7"/>
        <v>1</v>
      </c>
      <c r="R120">
        <f t="shared" si="8"/>
        <v>0</v>
      </c>
      <c r="S120">
        <f t="shared" si="9"/>
        <v>0.605858197572128</v>
      </c>
      <c r="T120">
        <f t="shared" si="10"/>
        <v>0.501109317700217</v>
      </c>
    </row>
    <row r="121" spans="1:20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>SUMPRODUCT(A$4:M$4,A121:M121)+N$4</f>
        <v>4.267871326722</v>
      </c>
      <c r="P121">
        <f t="shared" si="6"/>
        <v>0.98618203400004</v>
      </c>
      <c r="Q121">
        <f t="shared" si="7"/>
        <v>1</v>
      </c>
      <c r="R121">
        <f t="shared" si="8"/>
        <v>0</v>
      </c>
      <c r="S121">
        <f t="shared" si="9"/>
        <v>0.98618203400004</v>
      </c>
      <c r="T121">
        <f t="shared" si="10"/>
        <v>0.0139143227581315</v>
      </c>
    </row>
    <row r="122" spans="1:20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>SUMPRODUCT(A$4:M$4,A122:M122)+N$4</f>
        <v>-0.778881475519354</v>
      </c>
      <c r="P122">
        <f t="shared" si="6"/>
        <v>0.314561003748317</v>
      </c>
      <c r="Q122">
        <f t="shared" si="7"/>
        <v>0</v>
      </c>
      <c r="R122">
        <f t="shared" si="8"/>
        <v>0</v>
      </c>
      <c r="S122">
        <f t="shared" si="9"/>
        <v>0.685438996251682</v>
      </c>
      <c r="T122">
        <f t="shared" si="10"/>
        <v>0.377695775549264</v>
      </c>
    </row>
    <row r="123" spans="1:20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>SUMPRODUCT(A$4:M$4,A123:M123)+N$4</f>
        <v>2.81996518371759</v>
      </c>
      <c r="P123">
        <f t="shared" si="6"/>
        <v>0.943745218052638</v>
      </c>
      <c r="Q123">
        <f t="shared" si="7"/>
        <v>1</v>
      </c>
      <c r="R123">
        <f t="shared" si="8"/>
        <v>0</v>
      </c>
      <c r="S123">
        <f t="shared" si="9"/>
        <v>0.943745218052638</v>
      </c>
      <c r="T123">
        <f t="shared" si="10"/>
        <v>0.0578990453958314</v>
      </c>
    </row>
    <row r="124" spans="1:20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>SUMPRODUCT(A$4:M$4,A124:M124)+N$4</f>
        <v>-0.951646575586116</v>
      </c>
      <c r="P124">
        <f t="shared" si="6"/>
        <v>0.278553802918804</v>
      </c>
      <c r="Q124">
        <f t="shared" si="7"/>
        <v>0</v>
      </c>
      <c r="R124">
        <f t="shared" si="8"/>
        <v>0</v>
      </c>
      <c r="S124">
        <f t="shared" si="9"/>
        <v>0.721446197081196</v>
      </c>
      <c r="T124">
        <f t="shared" si="10"/>
        <v>0.326497474468795</v>
      </c>
    </row>
    <row r="125" spans="1:20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>SUMPRODUCT(A$4:M$4,A125:M125)+N$4</f>
        <v>-0.362517100091576</v>
      </c>
      <c r="P125">
        <f t="shared" si="6"/>
        <v>0.410350383842386</v>
      </c>
      <c r="Q125">
        <f t="shared" si="7"/>
        <v>0</v>
      </c>
      <c r="R125">
        <f t="shared" si="8"/>
        <v>0</v>
      </c>
      <c r="S125">
        <f t="shared" si="9"/>
        <v>0.589649616157614</v>
      </c>
      <c r="T125">
        <f t="shared" si="10"/>
        <v>0.528226789412851</v>
      </c>
    </row>
    <row r="126" spans="1:20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</v>
      </c>
      <c r="K126">
        <v>1</v>
      </c>
      <c r="L126">
        <v>0</v>
      </c>
      <c r="M126">
        <v>3</v>
      </c>
      <c r="N126">
        <v>0</v>
      </c>
      <c r="O126">
        <f>SUMPRODUCT(A$4:M$4,A126:M126)+N$4</f>
        <v>-4.69554415588408</v>
      </c>
      <c r="P126">
        <f t="shared" si="6"/>
        <v>0.00905318571316093</v>
      </c>
      <c r="Q126">
        <f t="shared" si="7"/>
        <v>0</v>
      </c>
      <c r="R126">
        <f t="shared" si="8"/>
        <v>0</v>
      </c>
      <c r="S126">
        <f t="shared" si="9"/>
        <v>0.990946814286839</v>
      </c>
      <c r="T126">
        <f t="shared" si="10"/>
        <v>0.00909441482411363</v>
      </c>
    </row>
    <row r="127" spans="1:20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>SUMPRODUCT(A$4:M$4,A127:M127)+N$4</f>
        <v>-2.4039577832365</v>
      </c>
      <c r="P127">
        <f t="shared" si="6"/>
        <v>0.0828713931939818</v>
      </c>
      <c r="Q127">
        <f t="shared" si="7"/>
        <v>0</v>
      </c>
      <c r="R127">
        <f t="shared" si="8"/>
        <v>1</v>
      </c>
      <c r="S127">
        <f t="shared" si="9"/>
        <v>0.0828713931939818</v>
      </c>
      <c r="T127">
        <f t="shared" si="10"/>
        <v>2.4904653524611</v>
      </c>
    </row>
    <row r="128" spans="1:20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>SUMPRODUCT(A$4:M$4,A128:M128)+N$4</f>
        <v>-1.6124020852213</v>
      </c>
      <c r="P128">
        <f t="shared" si="6"/>
        <v>0.166255382675189</v>
      </c>
      <c r="Q128">
        <f t="shared" si="7"/>
        <v>0</v>
      </c>
      <c r="R128">
        <f t="shared" si="8"/>
        <v>0</v>
      </c>
      <c r="S128">
        <f t="shared" si="9"/>
        <v>0.833744617324811</v>
      </c>
      <c r="T128">
        <f t="shared" si="10"/>
        <v>0.181828137755379</v>
      </c>
    </row>
    <row r="129" spans="1:20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>SUMPRODUCT(A$4:M$4,A129:M129)+N$4</f>
        <v>6.33946542764753</v>
      </c>
      <c r="P129">
        <f t="shared" si="6"/>
        <v>0.998237864965014</v>
      </c>
      <c r="Q129">
        <f t="shared" si="7"/>
        <v>1</v>
      </c>
      <c r="R129">
        <f t="shared" si="8"/>
        <v>0</v>
      </c>
      <c r="S129">
        <f t="shared" si="9"/>
        <v>0.998237864965014</v>
      </c>
      <c r="T129">
        <f t="shared" si="10"/>
        <v>0.00176368942122069</v>
      </c>
    </row>
    <row r="130" spans="1:20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>SUMPRODUCT(A$4:M$4,A130:M130)+N$4</f>
        <v>-1.20083181121735</v>
      </c>
      <c r="P130">
        <f t="shared" si="6"/>
        <v>0.231327274962786</v>
      </c>
      <c r="Q130">
        <f t="shared" si="7"/>
        <v>0</v>
      </c>
      <c r="R130">
        <f t="shared" si="8"/>
        <v>0</v>
      </c>
      <c r="S130">
        <f t="shared" si="9"/>
        <v>0.768672725037214</v>
      </c>
      <c r="T130">
        <f t="shared" si="10"/>
        <v>0.263089985190706</v>
      </c>
    </row>
    <row r="131" spans="1:20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>SUMPRODUCT(A$4:M$4,A131:M131)+N$4</f>
        <v>3.57395800662833</v>
      </c>
      <c r="P131">
        <f t="shared" si="6"/>
        <v>0.97272041312265</v>
      </c>
      <c r="Q131">
        <f t="shared" si="7"/>
        <v>1</v>
      </c>
      <c r="R131">
        <f t="shared" si="8"/>
        <v>0</v>
      </c>
      <c r="S131">
        <f t="shared" si="9"/>
        <v>0.97272041312265</v>
      </c>
      <c r="T131">
        <f t="shared" si="10"/>
        <v>0.0276585832853613</v>
      </c>
    </row>
    <row r="132" spans="1:20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>SUMPRODUCT(A$4:M$4,A132:M132)+N$4</f>
        <v>-1.2244140255029</v>
      </c>
      <c r="P132">
        <f t="shared" si="6"/>
        <v>0.227160597053566</v>
      </c>
      <c r="Q132">
        <f t="shared" si="7"/>
        <v>0</v>
      </c>
      <c r="R132">
        <f t="shared" si="8"/>
        <v>1</v>
      </c>
      <c r="S132">
        <f t="shared" si="9"/>
        <v>0.227160597053566</v>
      </c>
      <c r="T132">
        <f t="shared" si="10"/>
        <v>1.48209803563701</v>
      </c>
    </row>
    <row r="133" spans="1:20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>SUMPRODUCT(A$4:M$4,A133:M133)+N$4</f>
        <v>-2.08072564787306</v>
      </c>
      <c r="P133">
        <f t="shared" si="6"/>
        <v>0.110984349127214</v>
      </c>
      <c r="Q133">
        <f t="shared" si="7"/>
        <v>0</v>
      </c>
      <c r="R133">
        <f t="shared" si="8"/>
        <v>0</v>
      </c>
      <c r="S133">
        <f t="shared" si="9"/>
        <v>0.889015650872786</v>
      </c>
      <c r="T133">
        <f t="shared" si="10"/>
        <v>0.117640438591944</v>
      </c>
    </row>
    <row r="134" spans="1:20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>SUMPRODUCT(A$4:M$4,A134:M134)+N$4</f>
        <v>-1.78742247643701</v>
      </c>
      <c r="P134">
        <f t="shared" ref="P134:P197" si="11">1/(1+EXP(0-O134))</f>
        <v>0.143389026213156</v>
      </c>
      <c r="Q134">
        <f t="shared" ref="Q134:Q197" si="12">IF(P134&lt;=0.5,0,1)</f>
        <v>0</v>
      </c>
      <c r="R134">
        <f t="shared" ref="R134:R197" si="13">IF(N134=Q134,0,1)</f>
        <v>0</v>
      </c>
      <c r="S134">
        <f t="shared" ref="S134:S197" si="14">IF(N134=1,P134,1-P134)</f>
        <v>0.856610973786844</v>
      </c>
      <c r="T134">
        <f t="shared" si="10"/>
        <v>0.154771403018059</v>
      </c>
    </row>
    <row r="135" spans="1:20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>SUMPRODUCT(A$4:M$4,A135:M135)+N$4</f>
        <v>-2.03624999202148</v>
      </c>
      <c r="P135">
        <f t="shared" si="11"/>
        <v>0.115449133329262</v>
      </c>
      <c r="Q135">
        <f t="shared" si="12"/>
        <v>0</v>
      </c>
      <c r="R135">
        <f t="shared" si="13"/>
        <v>0</v>
      </c>
      <c r="S135">
        <f t="shared" si="14"/>
        <v>0.884550866670738</v>
      </c>
      <c r="T135">
        <f t="shared" ref="T135:T198" si="15">IF(S135=0,100000,-LN(S135))</f>
        <v>0.122675258080827</v>
      </c>
    </row>
    <row r="136" spans="1:20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>SUMPRODUCT(A$4:M$4,A136:M136)+N$4</f>
        <v>-2.54637308423774</v>
      </c>
      <c r="P136">
        <f t="shared" si="11"/>
        <v>0.0726705229683015</v>
      </c>
      <c r="Q136">
        <f t="shared" si="12"/>
        <v>0</v>
      </c>
      <c r="R136">
        <f t="shared" si="13"/>
        <v>0</v>
      </c>
      <c r="S136">
        <f t="shared" si="14"/>
        <v>0.927329477031698</v>
      </c>
      <c r="T136">
        <f t="shared" si="15"/>
        <v>0.0754463536603737</v>
      </c>
    </row>
    <row r="137" spans="1:20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>SUMPRODUCT(A$4:M$4,A137:M137)+N$4</f>
        <v>4.32587823321689</v>
      </c>
      <c r="P137">
        <f t="shared" si="11"/>
        <v>0.986950605169608</v>
      </c>
      <c r="Q137">
        <f t="shared" si="12"/>
        <v>1</v>
      </c>
      <c r="R137">
        <f t="shared" si="13"/>
        <v>0</v>
      </c>
      <c r="S137">
        <f t="shared" si="14"/>
        <v>0.986950605169608</v>
      </c>
      <c r="T137">
        <f t="shared" si="15"/>
        <v>0.0131352862218328</v>
      </c>
    </row>
    <row r="138" spans="1:20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>SUMPRODUCT(A$4:M$4,A138:M138)+N$4</f>
        <v>3.21319222659154</v>
      </c>
      <c r="P138">
        <f t="shared" si="11"/>
        <v>0.961327717037005</v>
      </c>
      <c r="Q138">
        <f t="shared" si="12"/>
        <v>1</v>
      </c>
      <c r="R138">
        <f t="shared" si="13"/>
        <v>0</v>
      </c>
      <c r="S138">
        <f t="shared" si="14"/>
        <v>0.961327717037005</v>
      </c>
      <c r="T138">
        <f t="shared" si="15"/>
        <v>0.039439911456989</v>
      </c>
    </row>
    <row r="139" spans="1:20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>SUMPRODUCT(A$4:M$4,A139:M139)+N$4</f>
        <v>-4.5280846778935</v>
      </c>
      <c r="P139">
        <f t="shared" si="11"/>
        <v>0.0106859220037993</v>
      </c>
      <c r="Q139">
        <f t="shared" si="12"/>
        <v>0</v>
      </c>
      <c r="R139">
        <f t="shared" si="13"/>
        <v>0</v>
      </c>
      <c r="S139">
        <f t="shared" si="14"/>
        <v>0.989314077996201</v>
      </c>
      <c r="T139">
        <f t="shared" si="15"/>
        <v>0.0107434264942268</v>
      </c>
    </row>
    <row r="140" spans="1:20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>SUMPRODUCT(A$4:M$4,A140:M140)+N$4</f>
        <v>0.424293089563372</v>
      </c>
      <c r="P140">
        <f t="shared" si="11"/>
        <v>0.604510090726658</v>
      </c>
      <c r="Q140">
        <f t="shared" si="12"/>
        <v>1</v>
      </c>
      <c r="R140">
        <f t="shared" si="13"/>
        <v>0</v>
      </c>
      <c r="S140">
        <f t="shared" si="14"/>
        <v>0.604510090726658</v>
      </c>
      <c r="T140">
        <f t="shared" si="15"/>
        <v>0.503336916383968</v>
      </c>
    </row>
    <row r="141" spans="1:20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>SUMPRODUCT(A$4:M$4,A141:M141)+N$4</f>
        <v>-1.56820808902285</v>
      </c>
      <c r="P141">
        <f t="shared" si="11"/>
        <v>0.172471992872039</v>
      </c>
      <c r="Q141">
        <f t="shared" si="12"/>
        <v>0</v>
      </c>
      <c r="R141">
        <f t="shared" si="13"/>
        <v>0</v>
      </c>
      <c r="S141">
        <f t="shared" si="14"/>
        <v>0.827528007127961</v>
      </c>
      <c r="T141">
        <f t="shared" si="15"/>
        <v>0.189312326831808</v>
      </c>
    </row>
    <row r="142" spans="1:20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</v>
      </c>
      <c r="K142">
        <v>2</v>
      </c>
      <c r="L142">
        <v>0</v>
      </c>
      <c r="M142">
        <v>3</v>
      </c>
      <c r="N142">
        <v>0</v>
      </c>
      <c r="O142">
        <f>SUMPRODUCT(A$4:M$4,A142:M142)+N$4</f>
        <v>-1.58528061577096</v>
      </c>
      <c r="P142">
        <f t="shared" si="11"/>
        <v>0.170048917623871</v>
      </c>
      <c r="Q142">
        <f t="shared" si="12"/>
        <v>0</v>
      </c>
      <c r="R142">
        <f t="shared" si="13"/>
        <v>0</v>
      </c>
      <c r="S142">
        <f t="shared" si="14"/>
        <v>0.829951082376129</v>
      </c>
      <c r="T142">
        <f t="shared" si="15"/>
        <v>0.18638851682457</v>
      </c>
    </row>
    <row r="143" spans="1:20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>SUMPRODUCT(A$4:M$4,A143:M143)+N$4</f>
        <v>-0.505163732625471</v>
      </c>
      <c r="P143">
        <f t="shared" si="11"/>
        <v>0.376327942021469</v>
      </c>
      <c r="Q143">
        <f t="shared" si="12"/>
        <v>0</v>
      </c>
      <c r="R143">
        <f t="shared" si="13"/>
        <v>1</v>
      </c>
      <c r="S143">
        <f t="shared" si="14"/>
        <v>0.376327942021469</v>
      </c>
      <c r="T143">
        <f t="shared" si="15"/>
        <v>0.977294329498323</v>
      </c>
    </row>
    <row r="144" spans="1:20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>SUMPRODUCT(A$4:M$4,A144:M144)+N$4</f>
        <v>-1.99458894260606</v>
      </c>
      <c r="P144">
        <f t="shared" si="11"/>
        <v>0.119772219996594</v>
      </c>
      <c r="Q144">
        <f t="shared" si="12"/>
        <v>0</v>
      </c>
      <c r="R144">
        <f t="shared" si="13"/>
        <v>0</v>
      </c>
      <c r="S144">
        <f t="shared" si="14"/>
        <v>0.880227780003406</v>
      </c>
      <c r="T144">
        <f t="shared" si="15"/>
        <v>0.127574564090454</v>
      </c>
    </row>
    <row r="145" spans="1:20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>SUMPRODUCT(A$4:M$4,A145:M145)+N$4</f>
        <v>-2.42369522947671</v>
      </c>
      <c r="P145">
        <f t="shared" si="11"/>
        <v>0.0813835713669707</v>
      </c>
      <c r="Q145">
        <f t="shared" si="12"/>
        <v>0</v>
      </c>
      <c r="R145">
        <f t="shared" si="13"/>
        <v>0</v>
      </c>
      <c r="S145">
        <f t="shared" si="14"/>
        <v>0.918616428633029</v>
      </c>
      <c r="T145">
        <f t="shared" si="15"/>
        <v>0.0848866228251241</v>
      </c>
    </row>
    <row r="146" spans="1:20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>SUMPRODUCT(A$4:M$4,A146:M146)+N$4</f>
        <v>0.913280474281928</v>
      </c>
      <c r="P146">
        <f t="shared" si="11"/>
        <v>0.713670979928202</v>
      </c>
      <c r="Q146">
        <f t="shared" si="12"/>
        <v>1</v>
      </c>
      <c r="R146">
        <f t="shared" si="13"/>
        <v>0</v>
      </c>
      <c r="S146">
        <f t="shared" si="14"/>
        <v>0.713670979928202</v>
      </c>
      <c r="T146">
        <f t="shared" si="15"/>
        <v>0.337333235274714</v>
      </c>
    </row>
    <row r="147" spans="1:20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>SUMPRODUCT(A$4:M$4,A147:M147)+N$4</f>
        <v>4.39268742483971</v>
      </c>
      <c r="P147">
        <f t="shared" si="11"/>
        <v>0.987783637296454</v>
      </c>
      <c r="Q147">
        <f t="shared" si="12"/>
        <v>1</v>
      </c>
      <c r="R147">
        <f t="shared" si="13"/>
        <v>0</v>
      </c>
      <c r="S147">
        <f t="shared" si="14"/>
        <v>0.987783637296454</v>
      </c>
      <c r="T147">
        <f t="shared" si="15"/>
        <v>0.0122915958068436</v>
      </c>
    </row>
    <row r="148" spans="1:20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>SUMPRODUCT(A$4:M$4,A148:M148)+N$4</f>
        <v>-4.2006486083873</v>
      </c>
      <c r="P148">
        <f t="shared" si="11"/>
        <v>0.0147645936761396</v>
      </c>
      <c r="Q148">
        <f t="shared" si="12"/>
        <v>0</v>
      </c>
      <c r="R148">
        <f t="shared" si="13"/>
        <v>0</v>
      </c>
      <c r="S148">
        <f t="shared" si="14"/>
        <v>0.98523540632386</v>
      </c>
      <c r="T148">
        <f t="shared" si="15"/>
        <v>0.0148746751721574</v>
      </c>
    </row>
    <row r="149" spans="1:20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>SUMPRODUCT(A$4:M$4,A149:M149)+N$4</f>
        <v>1.88595229750871</v>
      </c>
      <c r="P149">
        <f t="shared" si="11"/>
        <v>0.868293324856255</v>
      </c>
      <c r="Q149">
        <f t="shared" si="12"/>
        <v>1</v>
      </c>
      <c r="R149">
        <f t="shared" si="13"/>
        <v>0</v>
      </c>
      <c r="S149">
        <f t="shared" si="14"/>
        <v>0.868293324856255</v>
      </c>
      <c r="T149">
        <f t="shared" si="15"/>
        <v>0.141225689545853</v>
      </c>
    </row>
    <row r="150" spans="1:20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>SUMPRODUCT(A$4:M$4,A150:M150)+N$4</f>
        <v>5.02351101737586</v>
      </c>
      <c r="P150">
        <f t="shared" si="11"/>
        <v>0.993461652579367</v>
      </c>
      <c r="Q150">
        <f t="shared" si="12"/>
        <v>1</v>
      </c>
      <c r="R150">
        <f t="shared" si="13"/>
        <v>0</v>
      </c>
      <c r="S150">
        <f t="shared" si="14"/>
        <v>0.993461652579367</v>
      </c>
      <c r="T150">
        <f t="shared" si="15"/>
        <v>0.00655981604484466</v>
      </c>
    </row>
    <row r="151" spans="1:20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>SUMPRODUCT(A$4:M$4,A151:M151)+N$4</f>
        <v>3.05359955127899</v>
      </c>
      <c r="P151">
        <f t="shared" si="11"/>
        <v>0.954937675268969</v>
      </c>
      <c r="Q151">
        <f t="shared" si="12"/>
        <v>1</v>
      </c>
      <c r="R151">
        <f t="shared" si="13"/>
        <v>0</v>
      </c>
      <c r="S151">
        <f t="shared" si="14"/>
        <v>0.954937675268969</v>
      </c>
      <c r="T151">
        <f t="shared" si="15"/>
        <v>0.0461092021294924</v>
      </c>
    </row>
    <row r="152" spans="1:20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>SUMPRODUCT(A$4:M$4,A152:M152)+N$4</f>
        <v>2.4082771444305</v>
      </c>
      <c r="P152">
        <f t="shared" si="11"/>
        <v>0.917456303418031</v>
      </c>
      <c r="Q152">
        <f t="shared" si="12"/>
        <v>1</v>
      </c>
      <c r="R152">
        <f t="shared" si="13"/>
        <v>0</v>
      </c>
      <c r="S152">
        <f t="shared" si="14"/>
        <v>0.917456303418031</v>
      </c>
      <c r="T152">
        <f t="shared" si="15"/>
        <v>0.0861503258899699</v>
      </c>
    </row>
    <row r="153" spans="1:20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>SUMPRODUCT(A$4:M$4,A153:M153)+N$4</f>
        <v>-2.94004006776749</v>
      </c>
      <c r="P153">
        <f t="shared" si="11"/>
        <v>0.0502093623888155</v>
      </c>
      <c r="Q153">
        <f t="shared" si="12"/>
        <v>0</v>
      </c>
      <c r="R153">
        <f t="shared" si="13"/>
        <v>0</v>
      </c>
      <c r="S153">
        <f t="shared" si="14"/>
        <v>0.949790637611185</v>
      </c>
      <c r="T153">
        <f t="shared" si="15"/>
        <v>0.0515137001370243</v>
      </c>
    </row>
    <row r="154" spans="1:20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>SUMPRODUCT(A$4:M$4,A154:M154)+N$4</f>
        <v>-4.17565279301828</v>
      </c>
      <c r="P154">
        <f t="shared" si="11"/>
        <v>0.015132642665311</v>
      </c>
      <c r="Q154">
        <f t="shared" si="12"/>
        <v>0</v>
      </c>
      <c r="R154">
        <f t="shared" si="13"/>
        <v>0</v>
      </c>
      <c r="S154">
        <f t="shared" si="14"/>
        <v>0.984867357334689</v>
      </c>
      <c r="T154">
        <f t="shared" si="15"/>
        <v>0.0152483094822474</v>
      </c>
    </row>
    <row r="155" spans="1:20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>SUMPRODUCT(A$4:M$4,A155:M155)+N$4</f>
        <v>-1.75872088503129</v>
      </c>
      <c r="P155">
        <f t="shared" si="11"/>
        <v>0.146950612304057</v>
      </c>
      <c r="Q155">
        <f t="shared" si="12"/>
        <v>0</v>
      </c>
      <c r="R155">
        <f t="shared" si="13"/>
        <v>0</v>
      </c>
      <c r="S155">
        <f t="shared" si="14"/>
        <v>0.853049387695944</v>
      </c>
      <c r="T155">
        <f t="shared" si="15"/>
        <v>0.158937834343619</v>
      </c>
    </row>
    <row r="156" spans="1:20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>SUMPRODUCT(A$4:M$4,A156:M156)+N$4</f>
        <v>-2.43108378371491</v>
      </c>
      <c r="P156">
        <f t="shared" si="11"/>
        <v>0.0808329066360649</v>
      </c>
      <c r="Q156">
        <f t="shared" si="12"/>
        <v>0</v>
      </c>
      <c r="R156">
        <f t="shared" si="13"/>
        <v>1</v>
      </c>
      <c r="S156">
        <f t="shared" si="14"/>
        <v>0.0808329066360649</v>
      </c>
      <c r="T156">
        <f t="shared" si="15"/>
        <v>2.51537113601574</v>
      </c>
    </row>
    <row r="157" spans="1:20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>SUMPRODUCT(A$4:M$4,A157:M157)+N$4</f>
        <v>4.13066190377975</v>
      </c>
      <c r="P157">
        <f t="shared" si="11"/>
        <v>0.984181993719609</v>
      </c>
      <c r="Q157">
        <f t="shared" si="12"/>
        <v>1</v>
      </c>
      <c r="R157">
        <f t="shared" si="13"/>
        <v>0</v>
      </c>
      <c r="S157">
        <f t="shared" si="14"/>
        <v>0.984181993719609</v>
      </c>
      <c r="T157">
        <f t="shared" si="15"/>
        <v>0.0159444460644922</v>
      </c>
    </row>
    <row r="158" spans="1:20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>SUMPRODUCT(A$4:M$4,A158:M158)+N$4</f>
        <v>-2.32321060911666</v>
      </c>
      <c r="P158">
        <f t="shared" si="11"/>
        <v>0.0892188246990069</v>
      </c>
      <c r="Q158">
        <f t="shared" si="12"/>
        <v>0</v>
      </c>
      <c r="R158">
        <f t="shared" si="13"/>
        <v>0</v>
      </c>
      <c r="S158">
        <f t="shared" si="14"/>
        <v>0.910781175300993</v>
      </c>
      <c r="T158">
        <f t="shared" si="15"/>
        <v>0.0934526133186251</v>
      </c>
    </row>
    <row r="159" spans="1:20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>SUMPRODUCT(A$4:M$4,A159:M159)+N$4</f>
        <v>-4.14308346266503</v>
      </c>
      <c r="P159">
        <f t="shared" si="11"/>
        <v>0.0156257884997474</v>
      </c>
      <c r="Q159">
        <f t="shared" si="12"/>
        <v>0</v>
      </c>
      <c r="R159">
        <f t="shared" si="13"/>
        <v>0</v>
      </c>
      <c r="S159">
        <f t="shared" si="14"/>
        <v>0.984374211500253</v>
      </c>
      <c r="T159">
        <f t="shared" si="15"/>
        <v>0.0157491579840764</v>
      </c>
    </row>
    <row r="160" spans="1:20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>SUMPRODUCT(A$4:M$4,A160:M160)+N$4</f>
        <v>-0.933884762431222</v>
      </c>
      <c r="P160">
        <f t="shared" si="11"/>
        <v>0.282137245481588</v>
      </c>
      <c r="Q160">
        <f t="shared" si="12"/>
        <v>0</v>
      </c>
      <c r="R160">
        <f t="shared" si="13"/>
        <v>0</v>
      </c>
      <c r="S160">
        <f t="shared" si="14"/>
        <v>0.717862754518412</v>
      </c>
      <c r="T160">
        <f t="shared" si="15"/>
        <v>0.331476877901149</v>
      </c>
    </row>
    <row r="161" spans="1:20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>SUMPRODUCT(A$4:M$4,A161:M161)+N$4</f>
        <v>-0.978588682870087</v>
      </c>
      <c r="P161">
        <f t="shared" si="11"/>
        <v>0.273171909566054</v>
      </c>
      <c r="Q161">
        <f t="shared" si="12"/>
        <v>0</v>
      </c>
      <c r="R161">
        <f t="shared" si="13"/>
        <v>1</v>
      </c>
      <c r="S161">
        <f t="shared" si="14"/>
        <v>0.273171909566054</v>
      </c>
      <c r="T161">
        <f t="shared" si="15"/>
        <v>1.29765397660825</v>
      </c>
    </row>
    <row r="162" spans="1:20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>SUMPRODUCT(A$4:M$4,A162:M162)+N$4</f>
        <v>5.53480259348329</v>
      </c>
      <c r="P162">
        <f t="shared" si="11"/>
        <v>0.996068529744636</v>
      </c>
      <c r="Q162">
        <f t="shared" si="12"/>
        <v>1</v>
      </c>
      <c r="R162">
        <f t="shared" si="13"/>
        <v>0</v>
      </c>
      <c r="S162">
        <f t="shared" si="14"/>
        <v>0.996068529744636</v>
      </c>
      <c r="T162">
        <f t="shared" si="15"/>
        <v>0.00393921879999795</v>
      </c>
    </row>
    <row r="163" spans="1:20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>SUMPRODUCT(A$4:M$4,A163:M163)+N$4</f>
        <v>-0.269125150973409</v>
      </c>
      <c r="P163">
        <f t="shared" si="11"/>
        <v>0.433121881788593</v>
      </c>
      <c r="Q163">
        <f t="shared" si="12"/>
        <v>0</v>
      </c>
      <c r="R163">
        <f t="shared" si="13"/>
        <v>1</v>
      </c>
      <c r="S163">
        <f t="shared" si="14"/>
        <v>0.433121881788593</v>
      </c>
      <c r="T163">
        <f t="shared" si="15"/>
        <v>0.83673610839758</v>
      </c>
    </row>
    <row r="164" spans="1:20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>SUMPRODUCT(A$4:M$4,A164:M164)+N$4</f>
        <v>2.02721596077764</v>
      </c>
      <c r="P164">
        <f t="shared" si="11"/>
        <v>0.883625095827305</v>
      </c>
      <c r="Q164">
        <f t="shared" si="12"/>
        <v>1</v>
      </c>
      <c r="R164">
        <f t="shared" si="13"/>
        <v>0</v>
      </c>
      <c r="S164">
        <f t="shared" si="14"/>
        <v>0.883625095827305</v>
      </c>
      <c r="T164">
        <f t="shared" si="15"/>
        <v>0.123722406043092</v>
      </c>
    </row>
    <row r="165" spans="1:20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>SUMPRODUCT(A$4:M$4,A165:M165)+N$4</f>
        <v>2.21158937264356</v>
      </c>
      <c r="P165">
        <f t="shared" si="11"/>
        <v>0.901285423535703</v>
      </c>
      <c r="Q165">
        <f t="shared" si="12"/>
        <v>1</v>
      </c>
      <c r="R165">
        <f t="shared" si="13"/>
        <v>0</v>
      </c>
      <c r="S165">
        <f t="shared" si="14"/>
        <v>0.901285423535703</v>
      </c>
      <c r="T165">
        <f t="shared" si="15"/>
        <v>0.103933286261411</v>
      </c>
    </row>
    <row r="166" spans="1:20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>SUMPRODUCT(A$4:M$4,A166:M166)+N$4</f>
        <v>0.148789326959164</v>
      </c>
      <c r="P166">
        <f t="shared" si="11"/>
        <v>0.537128859625891</v>
      </c>
      <c r="Q166">
        <f t="shared" si="12"/>
        <v>1</v>
      </c>
      <c r="R166">
        <f t="shared" si="13"/>
        <v>1</v>
      </c>
      <c r="S166">
        <f t="shared" si="14"/>
        <v>0.462871140374109</v>
      </c>
      <c r="T166">
        <f t="shared" si="15"/>
        <v>0.77030657815934</v>
      </c>
    </row>
    <row r="167" spans="1:20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>SUMPRODUCT(A$4:M$4,A167:M167)+N$4</f>
        <v>-1.12713356857825</v>
      </c>
      <c r="P167">
        <f t="shared" si="11"/>
        <v>0.244690478524139</v>
      </c>
      <c r="Q167">
        <f t="shared" si="12"/>
        <v>0</v>
      </c>
      <c r="R167">
        <f t="shared" si="13"/>
        <v>0</v>
      </c>
      <c r="S167">
        <f t="shared" si="14"/>
        <v>0.755309521475861</v>
      </c>
      <c r="T167">
        <f t="shared" si="15"/>
        <v>0.28062765152498</v>
      </c>
    </row>
    <row r="168" spans="1:20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>SUMPRODUCT(A$4:M$4,A168:M168)+N$4</f>
        <v>-1.97449216990867</v>
      </c>
      <c r="P168">
        <f t="shared" si="11"/>
        <v>0.121907201429253</v>
      </c>
      <c r="Q168">
        <f t="shared" si="12"/>
        <v>0</v>
      </c>
      <c r="R168">
        <f t="shared" si="13"/>
        <v>0</v>
      </c>
      <c r="S168">
        <f t="shared" si="14"/>
        <v>0.878092798570747</v>
      </c>
      <c r="T168">
        <f t="shared" si="15"/>
        <v>0.130002997799177</v>
      </c>
    </row>
    <row r="169" spans="1:20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>SUMPRODUCT(A$4:M$4,A169:M169)+N$4</f>
        <v>-2.91901102268816</v>
      </c>
      <c r="P169">
        <f t="shared" si="11"/>
        <v>0.0512217419847416</v>
      </c>
      <c r="Q169">
        <f t="shared" si="12"/>
        <v>0</v>
      </c>
      <c r="R169">
        <f t="shared" si="13"/>
        <v>0</v>
      </c>
      <c r="S169">
        <f t="shared" si="14"/>
        <v>0.948778258015258</v>
      </c>
      <c r="T169">
        <f t="shared" si="15"/>
        <v>0.0525801662465353</v>
      </c>
    </row>
    <row r="170" spans="1:20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>SUMPRODUCT(A$4:M$4,A170:M170)+N$4</f>
        <v>-0.745559536448742</v>
      </c>
      <c r="P170">
        <f t="shared" si="11"/>
        <v>0.321789624444914</v>
      </c>
      <c r="Q170">
        <f t="shared" si="12"/>
        <v>0</v>
      </c>
      <c r="R170">
        <f t="shared" si="13"/>
        <v>0</v>
      </c>
      <c r="S170">
        <f t="shared" si="14"/>
        <v>0.678210375555086</v>
      </c>
      <c r="T170">
        <f t="shared" si="15"/>
        <v>0.38829775074191</v>
      </c>
    </row>
    <row r="171" spans="1:20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>SUMPRODUCT(A$4:M$4,A171:M171)+N$4</f>
        <v>7.01644744251545</v>
      </c>
      <c r="P171">
        <f t="shared" si="11"/>
        <v>0.999103797393255</v>
      </c>
      <c r="Q171">
        <f t="shared" si="12"/>
        <v>1</v>
      </c>
      <c r="R171">
        <f t="shared" si="13"/>
        <v>0</v>
      </c>
      <c r="S171">
        <f t="shared" si="14"/>
        <v>0.999103797393255</v>
      </c>
      <c r="T171">
        <f t="shared" si="15"/>
        <v>0.000896604436399907</v>
      </c>
    </row>
    <row r="172" spans="1:20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>SUMPRODUCT(A$4:M$4,A172:M172)+N$4</f>
        <v>3.97349389748865</v>
      </c>
      <c r="P172">
        <f t="shared" si="11"/>
        <v>0.98153958977129</v>
      </c>
      <c r="Q172">
        <f t="shared" si="12"/>
        <v>1</v>
      </c>
      <c r="R172">
        <f t="shared" si="13"/>
        <v>1</v>
      </c>
      <c r="S172">
        <f t="shared" si="14"/>
        <v>0.0184604102287096</v>
      </c>
      <c r="T172">
        <f t="shared" si="15"/>
        <v>3.9921268275807</v>
      </c>
    </row>
    <row r="173" spans="1:20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>SUMPRODUCT(A$4:M$4,A173:M173)+N$4</f>
        <v>3.62703712029684</v>
      </c>
      <c r="P173">
        <f t="shared" si="11"/>
        <v>0.974094098773647</v>
      </c>
      <c r="Q173">
        <f t="shared" si="12"/>
        <v>1</v>
      </c>
      <c r="R173">
        <f t="shared" si="13"/>
        <v>0</v>
      </c>
      <c r="S173">
        <f t="shared" si="14"/>
        <v>0.974094098773647</v>
      </c>
      <c r="T173">
        <f t="shared" si="15"/>
        <v>0.0262473693555491</v>
      </c>
    </row>
    <row r="174" spans="1:20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>SUMPRODUCT(A$4:M$4,A174:M174)+N$4</f>
        <v>-4.67808087824834</v>
      </c>
      <c r="P174">
        <f t="shared" si="11"/>
        <v>0.0092112034713626</v>
      </c>
      <c r="Q174">
        <f t="shared" si="12"/>
        <v>0</v>
      </c>
      <c r="R174">
        <f t="shared" si="13"/>
        <v>0</v>
      </c>
      <c r="S174">
        <f t="shared" si="14"/>
        <v>0.990788796528637</v>
      </c>
      <c r="T174">
        <f t="shared" si="15"/>
        <v>0.00925388893122881</v>
      </c>
    </row>
    <row r="175" spans="1:20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>SUMPRODUCT(A$4:M$4,A175:M175)+N$4</f>
        <v>3.89642351345733</v>
      </c>
      <c r="P175">
        <f t="shared" si="11"/>
        <v>0.98009002395001</v>
      </c>
      <c r="Q175">
        <f t="shared" si="12"/>
        <v>1</v>
      </c>
      <c r="R175">
        <f t="shared" si="13"/>
        <v>0</v>
      </c>
      <c r="S175">
        <f t="shared" si="14"/>
        <v>0.98009002395001</v>
      </c>
      <c r="T175">
        <f t="shared" si="15"/>
        <v>0.0201108503630193</v>
      </c>
    </row>
    <row r="176" spans="1:20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>SUMPRODUCT(A$4:M$4,A176:M176)+N$4</f>
        <v>-2.95214719342014</v>
      </c>
      <c r="P176">
        <f t="shared" si="11"/>
        <v>0.0496351272623282</v>
      </c>
      <c r="Q176">
        <f t="shared" si="12"/>
        <v>0</v>
      </c>
      <c r="R176">
        <f t="shared" si="13"/>
        <v>0</v>
      </c>
      <c r="S176">
        <f t="shared" si="14"/>
        <v>0.950364872737672</v>
      </c>
      <c r="T176">
        <f t="shared" si="15"/>
        <v>0.0509092915601043</v>
      </c>
    </row>
    <row r="177" spans="1:20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>SUMPRODUCT(A$4:M$4,A177:M177)+N$4</f>
        <v>1.37029080454662</v>
      </c>
      <c r="P177">
        <f t="shared" si="11"/>
        <v>0.797427133355196</v>
      </c>
      <c r="Q177">
        <f t="shared" si="12"/>
        <v>1</v>
      </c>
      <c r="R177">
        <f t="shared" si="13"/>
        <v>0</v>
      </c>
      <c r="S177">
        <f t="shared" si="14"/>
        <v>0.797427133355196</v>
      </c>
      <c r="T177">
        <f t="shared" si="15"/>
        <v>0.226364817331133</v>
      </c>
    </row>
    <row r="178" spans="1:20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>SUMPRODUCT(A$4:M$4,A178:M178)+N$4</f>
        <v>-1.17339802819882</v>
      </c>
      <c r="P178">
        <f t="shared" si="11"/>
        <v>0.236241324012739</v>
      </c>
      <c r="Q178">
        <f t="shared" si="12"/>
        <v>0</v>
      </c>
      <c r="R178">
        <f t="shared" si="13"/>
        <v>0</v>
      </c>
      <c r="S178">
        <f t="shared" si="14"/>
        <v>0.763758675987261</v>
      </c>
      <c r="T178">
        <f t="shared" si="15"/>
        <v>0.269503408839399</v>
      </c>
    </row>
    <row r="179" spans="1:20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>SUMPRODUCT(A$4:M$4,A179:M179)+N$4</f>
        <v>5.18691276772166</v>
      </c>
      <c r="P179">
        <f t="shared" si="11"/>
        <v>0.994441830443493</v>
      </c>
      <c r="Q179">
        <f t="shared" si="12"/>
        <v>1</v>
      </c>
      <c r="R179">
        <f t="shared" si="13"/>
        <v>0</v>
      </c>
      <c r="S179">
        <f t="shared" si="14"/>
        <v>0.994441830443493</v>
      </c>
      <c r="T179">
        <f t="shared" si="15"/>
        <v>0.00557367365721878</v>
      </c>
    </row>
    <row r="180" spans="1:20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>SUMPRODUCT(A$4:M$4,A180:M180)+N$4</f>
        <v>3.27957944610969</v>
      </c>
      <c r="P180">
        <f t="shared" si="11"/>
        <v>0.963721582963947</v>
      </c>
      <c r="Q180">
        <f t="shared" si="12"/>
        <v>1</v>
      </c>
      <c r="R180">
        <f t="shared" si="13"/>
        <v>0</v>
      </c>
      <c r="S180">
        <f t="shared" si="14"/>
        <v>0.963721582963947</v>
      </c>
      <c r="T180">
        <f t="shared" si="15"/>
        <v>0.0369528404392405</v>
      </c>
    </row>
    <row r="181" spans="1:20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>SUMPRODUCT(A$4:M$4,A181:M181)+N$4</f>
        <v>-4.19504018785192</v>
      </c>
      <c r="P181">
        <f t="shared" si="11"/>
        <v>0.0148463995412187</v>
      </c>
      <c r="Q181">
        <f t="shared" si="12"/>
        <v>0</v>
      </c>
      <c r="R181">
        <f t="shared" si="13"/>
        <v>0</v>
      </c>
      <c r="S181">
        <f t="shared" si="14"/>
        <v>0.985153600458781</v>
      </c>
      <c r="T181">
        <f t="shared" si="15"/>
        <v>0.014957710415294</v>
      </c>
    </row>
    <row r="182" spans="1:20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>SUMPRODUCT(A$4:M$4,A182:M182)+N$4</f>
        <v>-0.256839354184248</v>
      </c>
      <c r="P182">
        <f t="shared" si="11"/>
        <v>0.436140823057851</v>
      </c>
      <c r="Q182">
        <f t="shared" si="12"/>
        <v>0</v>
      </c>
      <c r="R182">
        <f t="shared" si="13"/>
        <v>0</v>
      </c>
      <c r="S182">
        <f t="shared" si="14"/>
        <v>0.563859176942149</v>
      </c>
      <c r="T182">
        <f t="shared" si="15"/>
        <v>0.57295074493367</v>
      </c>
    </row>
    <row r="183" spans="1:20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>SUMPRODUCT(A$4:M$4,A183:M183)+N$4</f>
        <v>-0.540865725199215</v>
      </c>
      <c r="P183">
        <f t="shared" si="11"/>
        <v>0.367986215509437</v>
      </c>
      <c r="Q183">
        <f t="shared" si="12"/>
        <v>0</v>
      </c>
      <c r="R183">
        <f t="shared" si="13"/>
        <v>0</v>
      </c>
      <c r="S183">
        <f t="shared" si="14"/>
        <v>0.632013784490563</v>
      </c>
      <c r="T183">
        <f t="shared" si="15"/>
        <v>0.458844074170345</v>
      </c>
    </row>
    <row r="184" spans="1:20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>SUMPRODUCT(A$4:M$4,A184:M184)+N$4</f>
        <v>1.52508307880853</v>
      </c>
      <c r="P184">
        <f t="shared" si="11"/>
        <v>0.821285770596439</v>
      </c>
      <c r="Q184">
        <f t="shared" si="12"/>
        <v>1</v>
      </c>
      <c r="R184">
        <f t="shared" si="13"/>
        <v>0</v>
      </c>
      <c r="S184">
        <f t="shared" si="14"/>
        <v>0.821285770596439</v>
      </c>
      <c r="T184">
        <f t="shared" si="15"/>
        <v>0.196884153850051</v>
      </c>
    </row>
    <row r="185" spans="1:20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>SUMPRODUCT(A$4:M$4,A185:M185)+N$4</f>
        <v>0.819573448066581</v>
      </c>
      <c r="P185">
        <f t="shared" si="11"/>
        <v>0.69414578747078</v>
      </c>
      <c r="Q185">
        <f t="shared" si="12"/>
        <v>1</v>
      </c>
      <c r="R185">
        <f t="shared" si="13"/>
        <v>0</v>
      </c>
      <c r="S185">
        <f t="shared" si="14"/>
        <v>0.69414578747078</v>
      </c>
      <c r="T185">
        <f t="shared" si="15"/>
        <v>0.36507327213491</v>
      </c>
    </row>
    <row r="186" spans="1:20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>SUMPRODUCT(A$4:M$4,A186:M186)+N$4</f>
        <v>6.34789071613153</v>
      </c>
      <c r="P186">
        <f t="shared" si="11"/>
        <v>0.998252623259862</v>
      </c>
      <c r="Q186">
        <f t="shared" si="12"/>
        <v>1</v>
      </c>
      <c r="R186">
        <f t="shared" si="13"/>
        <v>0</v>
      </c>
      <c r="S186">
        <f t="shared" si="14"/>
        <v>0.998252623259862</v>
      </c>
      <c r="T186">
        <f t="shared" si="15"/>
        <v>0.0017489051836445</v>
      </c>
    </row>
    <row r="187" spans="1:20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>SUMPRODUCT(A$4:M$4,A187:M187)+N$4</f>
        <v>-3.15110115703716</v>
      </c>
      <c r="P187">
        <f t="shared" si="11"/>
        <v>0.0410479114653353</v>
      </c>
      <c r="Q187">
        <f t="shared" si="12"/>
        <v>0</v>
      </c>
      <c r="R187">
        <f t="shared" si="13"/>
        <v>0</v>
      </c>
      <c r="S187">
        <f t="shared" si="14"/>
        <v>0.958952088534665</v>
      </c>
      <c r="T187">
        <f t="shared" si="15"/>
        <v>0.0419141651645999</v>
      </c>
    </row>
    <row r="188" spans="1:20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>SUMPRODUCT(A$4:M$4,A188:M188)+N$4</f>
        <v>-1.38051434782181</v>
      </c>
      <c r="P188">
        <f t="shared" si="11"/>
        <v>0.200926405940134</v>
      </c>
      <c r="Q188">
        <f t="shared" si="12"/>
        <v>0</v>
      </c>
      <c r="R188">
        <f t="shared" si="13"/>
        <v>0</v>
      </c>
      <c r="S188">
        <f t="shared" si="14"/>
        <v>0.799073594059866</v>
      </c>
      <c r="T188">
        <f t="shared" si="15"/>
        <v>0.224302229748048</v>
      </c>
    </row>
    <row r="189" spans="1:20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>SUMPRODUCT(A$4:M$4,A189:M189)+N$4</f>
        <v>-0.715560422289135</v>
      </c>
      <c r="P189">
        <f t="shared" si="11"/>
        <v>0.328371356334488</v>
      </c>
      <c r="Q189">
        <f t="shared" si="12"/>
        <v>0</v>
      </c>
      <c r="R189">
        <f t="shared" si="13"/>
        <v>0</v>
      </c>
      <c r="S189">
        <f t="shared" si="14"/>
        <v>0.671628643665512</v>
      </c>
      <c r="T189">
        <f t="shared" si="15"/>
        <v>0.398049704799143</v>
      </c>
    </row>
    <row r="190" spans="1:20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>SUMPRODUCT(A$4:M$4,A190:M190)+N$4</f>
        <v>3.72297626564276</v>
      </c>
      <c r="P190">
        <f t="shared" si="11"/>
        <v>0.976408078442544</v>
      </c>
      <c r="Q190">
        <f t="shared" si="12"/>
        <v>1</v>
      </c>
      <c r="R190">
        <f t="shared" si="13"/>
        <v>0</v>
      </c>
      <c r="S190">
        <f t="shared" si="14"/>
        <v>0.976408078442544</v>
      </c>
      <c r="T190">
        <f t="shared" si="15"/>
        <v>0.0238746667956498</v>
      </c>
    </row>
    <row r="191" spans="1:20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>SUMPRODUCT(A$4:M$4,A191:M191)+N$4</f>
        <v>-3.85403803570771</v>
      </c>
      <c r="P191">
        <f t="shared" si="11"/>
        <v>0.0207541189501666</v>
      </c>
      <c r="Q191">
        <f t="shared" si="12"/>
        <v>0</v>
      </c>
      <c r="R191">
        <f t="shared" si="13"/>
        <v>0</v>
      </c>
      <c r="S191">
        <f t="shared" si="14"/>
        <v>0.979245881049833</v>
      </c>
      <c r="T191">
        <f t="shared" si="15"/>
        <v>0.0209725126744698</v>
      </c>
    </row>
    <row r="192" spans="1:20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>SUMPRODUCT(A$4:M$4,A192:M192)+N$4</f>
        <v>3.05857595650219</v>
      </c>
      <c r="P192">
        <f t="shared" si="11"/>
        <v>0.955151334348136</v>
      </c>
      <c r="Q192">
        <f t="shared" si="12"/>
        <v>1</v>
      </c>
      <c r="R192">
        <f t="shared" si="13"/>
        <v>0</v>
      </c>
      <c r="S192">
        <f t="shared" si="14"/>
        <v>0.955151334348136</v>
      </c>
      <c r="T192">
        <f t="shared" si="15"/>
        <v>0.0458854857696979</v>
      </c>
    </row>
    <row r="193" spans="1:20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>SUMPRODUCT(A$4:M$4,A193:M193)+N$4</f>
        <v>-0.801786765212849</v>
      </c>
      <c r="P193">
        <f t="shared" si="11"/>
        <v>0.309643442261609</v>
      </c>
      <c r="Q193">
        <f t="shared" si="12"/>
        <v>0</v>
      </c>
      <c r="R193">
        <f t="shared" si="13"/>
        <v>0</v>
      </c>
      <c r="S193">
        <f t="shared" si="14"/>
        <v>0.690356557738391</v>
      </c>
      <c r="T193">
        <f t="shared" si="15"/>
        <v>0.37054706451482</v>
      </c>
    </row>
    <row r="194" spans="1:20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>SUMPRODUCT(A$4:M$4,A194:M194)+N$4</f>
        <v>1.0429083376628</v>
      </c>
      <c r="P194">
        <f t="shared" si="11"/>
        <v>0.739410781856441</v>
      </c>
      <c r="Q194">
        <f t="shared" si="12"/>
        <v>1</v>
      </c>
      <c r="R194">
        <f t="shared" si="13"/>
        <v>1</v>
      </c>
      <c r="S194">
        <f t="shared" si="14"/>
        <v>0.260589218143559</v>
      </c>
      <c r="T194">
        <f t="shared" si="15"/>
        <v>1.34480998834929</v>
      </c>
    </row>
    <row r="195" spans="1:20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>SUMPRODUCT(A$4:M$4,A195:M195)+N$4</f>
        <v>-3.06192155930566</v>
      </c>
      <c r="P195">
        <f t="shared" si="11"/>
        <v>0.0447055672226169</v>
      </c>
      <c r="Q195">
        <f t="shared" si="12"/>
        <v>0</v>
      </c>
      <c r="R195">
        <f t="shared" si="13"/>
        <v>0</v>
      </c>
      <c r="S195">
        <f t="shared" si="14"/>
        <v>0.955294432777383</v>
      </c>
      <c r="T195">
        <f t="shared" si="15"/>
        <v>0.0457356794449361</v>
      </c>
    </row>
    <row r="196" spans="1:20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>SUMPRODUCT(A$4:M$4,A196:M196)+N$4</f>
        <v>-0.709420344442185</v>
      </c>
      <c r="P196">
        <f t="shared" si="11"/>
        <v>0.329726935528846</v>
      </c>
      <c r="Q196">
        <f t="shared" si="12"/>
        <v>0</v>
      </c>
      <c r="R196">
        <f t="shared" si="13"/>
        <v>0</v>
      </c>
      <c r="S196">
        <f t="shared" si="14"/>
        <v>0.670273064471154</v>
      </c>
      <c r="T196">
        <f t="shared" si="15"/>
        <v>0.40007009071453</v>
      </c>
    </row>
    <row r="197" spans="1:20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>SUMPRODUCT(A$4:M$4,A197:M197)+N$4</f>
        <v>-4.20641794907686</v>
      </c>
      <c r="P197">
        <f t="shared" si="11"/>
        <v>0.0146809039029538</v>
      </c>
      <c r="Q197">
        <f t="shared" si="12"/>
        <v>0</v>
      </c>
      <c r="R197">
        <f t="shared" si="13"/>
        <v>0</v>
      </c>
      <c r="S197">
        <f t="shared" si="14"/>
        <v>0.985319096097046</v>
      </c>
      <c r="T197">
        <f t="shared" si="15"/>
        <v>0.0147897348438046</v>
      </c>
    </row>
    <row r="198" spans="1:20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>SUMPRODUCT(A$4:M$4,A198:M198)+N$4</f>
        <v>-4.09816170447655</v>
      </c>
      <c r="P198">
        <f t="shared" ref="P198:P219" si="16">1/(1+EXP(0-O198))</f>
        <v>0.0163320058447497</v>
      </c>
      <c r="Q198">
        <f t="shared" ref="Q198:Q219" si="17">IF(P198&lt;=0.5,0,1)</f>
        <v>0</v>
      </c>
      <c r="R198">
        <f t="shared" ref="R198:R219" si="18">IF(N198=Q198,0,1)</f>
        <v>0</v>
      </c>
      <c r="S198">
        <f t="shared" ref="S198:S219" si="19">IF(N198=1,P198,1-P198)</f>
        <v>0.98366799415525</v>
      </c>
      <c r="T198">
        <f t="shared" si="15"/>
        <v>0.0164668431772959</v>
      </c>
    </row>
    <row r="199" spans="1:20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>SUMPRODUCT(A$4:M$4,A199:M199)+N$4</f>
        <v>-5.26151295745582</v>
      </c>
      <c r="P199">
        <f t="shared" si="16"/>
        <v>0.00516067961735169</v>
      </c>
      <c r="Q199">
        <f t="shared" si="17"/>
        <v>0</v>
      </c>
      <c r="R199">
        <f t="shared" si="18"/>
        <v>0</v>
      </c>
      <c r="S199">
        <f t="shared" si="19"/>
        <v>0.994839320382648</v>
      </c>
      <c r="T199">
        <f t="shared" ref="T199:T219" si="20">IF(S199=0,100000,-LN(S199))</f>
        <v>0.00517404191659704</v>
      </c>
    </row>
    <row r="200" spans="1:20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>SUMPRODUCT(A$4:M$4,A200:M200)+N$4</f>
        <v>0.928201874249773</v>
      </c>
      <c r="P200">
        <f t="shared" si="16"/>
        <v>0.716710342411433</v>
      </c>
      <c r="Q200">
        <f t="shared" si="17"/>
        <v>1</v>
      </c>
      <c r="R200">
        <f t="shared" si="18"/>
        <v>0</v>
      </c>
      <c r="S200">
        <f t="shared" si="19"/>
        <v>0.716710342411433</v>
      </c>
      <c r="T200">
        <f t="shared" si="20"/>
        <v>0.333083505485807</v>
      </c>
    </row>
    <row r="201" spans="1:20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>SUMPRODUCT(A$4:M$4,A201:M201)+N$4</f>
        <v>-5.38425661937026</v>
      </c>
      <c r="P201">
        <f t="shared" si="16"/>
        <v>0.00456729398482958</v>
      </c>
      <c r="Q201">
        <f t="shared" si="17"/>
        <v>0</v>
      </c>
      <c r="R201">
        <f t="shared" si="18"/>
        <v>0</v>
      </c>
      <c r="S201">
        <f t="shared" si="19"/>
        <v>0.99543270601517</v>
      </c>
      <c r="T201">
        <f t="shared" si="20"/>
        <v>0.00457775593937017</v>
      </c>
    </row>
    <row r="202" spans="1:20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>SUMPRODUCT(A$4:M$4,A202:M202)+N$4</f>
        <v>-1.64121876359738</v>
      </c>
      <c r="P202">
        <f t="shared" si="16"/>
        <v>0.162299293429512</v>
      </c>
      <c r="Q202">
        <f t="shared" si="17"/>
        <v>0</v>
      </c>
      <c r="R202">
        <f t="shared" si="18"/>
        <v>0</v>
      </c>
      <c r="S202">
        <f t="shared" si="19"/>
        <v>0.837700706570488</v>
      </c>
      <c r="T202">
        <f t="shared" si="20"/>
        <v>0.177094394357899</v>
      </c>
    </row>
    <row r="203" spans="1:20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>SUMPRODUCT(A$4:M$4,A203:M203)+N$4</f>
        <v>-3.81994746594494</v>
      </c>
      <c r="P203">
        <f t="shared" si="16"/>
        <v>0.0214583927962922</v>
      </c>
      <c r="Q203">
        <f t="shared" si="17"/>
        <v>0</v>
      </c>
      <c r="R203">
        <f t="shared" si="18"/>
        <v>0</v>
      </c>
      <c r="S203">
        <f t="shared" si="19"/>
        <v>0.978541607203708</v>
      </c>
      <c r="T203">
        <f t="shared" si="20"/>
        <v>0.0216919716359046</v>
      </c>
    </row>
    <row r="204" spans="1:20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>SUMPRODUCT(A$4:M$4,A204:M204)+N$4</f>
        <v>-4.07630345458519</v>
      </c>
      <c r="P204">
        <f t="shared" si="16"/>
        <v>0.0166869024471527</v>
      </c>
      <c r="Q204">
        <f t="shared" si="17"/>
        <v>0</v>
      </c>
      <c r="R204">
        <f t="shared" si="18"/>
        <v>0</v>
      </c>
      <c r="S204">
        <f t="shared" si="19"/>
        <v>0.983313097552847</v>
      </c>
      <c r="T204">
        <f t="shared" si="20"/>
        <v>0.0168276972879431</v>
      </c>
    </row>
    <row r="205" spans="1:20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>SUMPRODUCT(A$4:M$4,A205:M205)+N$4</f>
        <v>0.033870387768685</v>
      </c>
      <c r="P205">
        <f t="shared" si="16"/>
        <v>0.508466787530524</v>
      </c>
      <c r="Q205">
        <f t="shared" si="17"/>
        <v>1</v>
      </c>
      <c r="R205">
        <f t="shared" si="18"/>
        <v>0</v>
      </c>
      <c r="S205">
        <f t="shared" si="19"/>
        <v>0.508466787530524</v>
      </c>
      <c r="T205">
        <f t="shared" si="20"/>
        <v>0.676355380217519</v>
      </c>
    </row>
    <row r="206" spans="1:20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>SUMPRODUCT(A$4:M$4,A206:M206)+N$4</f>
        <v>3.22118383026373</v>
      </c>
      <c r="P206">
        <f t="shared" si="16"/>
        <v>0.9616237259033</v>
      </c>
      <c r="Q206">
        <f t="shared" si="17"/>
        <v>1</v>
      </c>
      <c r="R206">
        <f t="shared" si="18"/>
        <v>1</v>
      </c>
      <c r="S206">
        <f t="shared" si="19"/>
        <v>0.0383762740967004</v>
      </c>
      <c r="T206">
        <f t="shared" si="20"/>
        <v>3.26031587240897</v>
      </c>
    </row>
    <row r="207" spans="1:20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>SUMPRODUCT(A$4:M$4,A207:M207)+N$4</f>
        <v>-3.48266960942398</v>
      </c>
      <c r="P207">
        <f t="shared" si="16"/>
        <v>0.0298093756372092</v>
      </c>
      <c r="Q207">
        <f t="shared" si="17"/>
        <v>0</v>
      </c>
      <c r="R207">
        <f t="shared" si="18"/>
        <v>0</v>
      </c>
      <c r="S207">
        <f t="shared" si="19"/>
        <v>0.970190624362791</v>
      </c>
      <c r="T207">
        <f t="shared" si="20"/>
        <v>0.0302627068305867</v>
      </c>
    </row>
    <row r="208" spans="1:20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>SUMPRODUCT(A$4:M$4,A208:M208)+N$4</f>
        <v>-1.35587282500448</v>
      </c>
      <c r="P208">
        <f t="shared" si="16"/>
        <v>0.204911895185767</v>
      </c>
      <c r="Q208">
        <f t="shared" si="17"/>
        <v>0</v>
      </c>
      <c r="R208">
        <f t="shared" si="18"/>
        <v>1</v>
      </c>
      <c r="S208">
        <f t="shared" si="19"/>
        <v>0.204911895185767</v>
      </c>
      <c r="T208">
        <f t="shared" si="20"/>
        <v>1.58517517180707</v>
      </c>
    </row>
    <row r="209" spans="1:20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>SUMPRODUCT(A$4:M$4,A209:M209)+N$4</f>
        <v>-4.95770455714676</v>
      </c>
      <c r="P209">
        <f t="shared" si="16"/>
        <v>0.00697998149980288</v>
      </c>
      <c r="Q209">
        <f t="shared" si="17"/>
        <v>0</v>
      </c>
      <c r="R209">
        <f t="shared" si="18"/>
        <v>0</v>
      </c>
      <c r="S209">
        <f t="shared" si="19"/>
        <v>0.993020018500197</v>
      </c>
      <c r="T209">
        <f t="shared" si="20"/>
        <v>0.00700445552264701</v>
      </c>
    </row>
    <row r="210" spans="1:20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>SUMPRODUCT(A$4:M$4,A210:M210)+N$4</f>
        <v>2.07703615297129</v>
      </c>
      <c r="P210">
        <f t="shared" si="16"/>
        <v>0.888651097311253</v>
      </c>
      <c r="Q210">
        <f t="shared" si="17"/>
        <v>1</v>
      </c>
      <c r="R210">
        <f t="shared" si="18"/>
        <v>0</v>
      </c>
      <c r="S210">
        <f t="shared" si="19"/>
        <v>0.888651097311253</v>
      </c>
      <c r="T210">
        <f t="shared" si="20"/>
        <v>0.118050586969884</v>
      </c>
    </row>
    <row r="211" spans="1:20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>SUMPRODUCT(A$4:M$4,A211:M211)+N$4</f>
        <v>2.80129377385131</v>
      </c>
      <c r="P211">
        <f t="shared" si="16"/>
        <v>0.942745697173357</v>
      </c>
      <c r="Q211">
        <f t="shared" si="17"/>
        <v>1</v>
      </c>
      <c r="R211">
        <f t="shared" si="18"/>
        <v>0</v>
      </c>
      <c r="S211">
        <f t="shared" si="19"/>
        <v>0.942745697173357</v>
      </c>
      <c r="T211">
        <f t="shared" si="20"/>
        <v>0.058958706976752</v>
      </c>
    </row>
    <row r="212" spans="1:20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2.3</v>
      </c>
      <c r="K212">
        <v>1</v>
      </c>
      <c r="L212">
        <v>0</v>
      </c>
      <c r="M212">
        <v>6</v>
      </c>
      <c r="N212">
        <v>0</v>
      </c>
      <c r="O212">
        <f>SUMPRODUCT(A$4:M$4,A212:M212)+N$4</f>
        <v>1.06672587292765</v>
      </c>
      <c r="P212">
        <f t="shared" si="16"/>
        <v>0.743973768906793</v>
      </c>
      <c r="Q212">
        <f t="shared" si="17"/>
        <v>1</v>
      </c>
      <c r="R212">
        <f t="shared" si="18"/>
        <v>1</v>
      </c>
      <c r="S212">
        <f t="shared" si="19"/>
        <v>0.256026231093207</v>
      </c>
      <c r="T212">
        <f t="shared" si="20"/>
        <v>1.36247537454394</v>
      </c>
    </row>
    <row r="213" spans="1:20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>SUMPRODUCT(A$4:M$4,A213:M213)+N$4</f>
        <v>-0.451715168914864</v>
      </c>
      <c r="P213">
        <f t="shared" si="16"/>
        <v>0.388953046744304</v>
      </c>
      <c r="Q213">
        <f t="shared" si="17"/>
        <v>0</v>
      </c>
      <c r="R213">
        <f t="shared" si="18"/>
        <v>0</v>
      </c>
      <c r="S213">
        <f t="shared" si="19"/>
        <v>0.611046953255696</v>
      </c>
      <c r="T213">
        <f t="shared" si="20"/>
        <v>0.492581476190755</v>
      </c>
    </row>
    <row r="214" spans="1:20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>SUMPRODUCT(A$4:M$4,A214:M214)+N$4</f>
        <v>-1.52819501745378</v>
      </c>
      <c r="P214">
        <f t="shared" si="16"/>
        <v>0.178257929783749</v>
      </c>
      <c r="Q214">
        <f t="shared" si="17"/>
        <v>0</v>
      </c>
      <c r="R214">
        <f t="shared" si="18"/>
        <v>0</v>
      </c>
      <c r="S214">
        <f t="shared" si="19"/>
        <v>0.821742070216251</v>
      </c>
      <c r="T214">
        <f t="shared" si="20"/>
        <v>0.196328716358113</v>
      </c>
    </row>
    <row r="215" spans="1:20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>SUMPRODUCT(A$4:M$4,A215:M215)+N$4</f>
        <v>2.75713446645337</v>
      </c>
      <c r="P215">
        <f t="shared" si="16"/>
        <v>0.940315015348936</v>
      </c>
      <c r="Q215">
        <f t="shared" si="17"/>
        <v>1</v>
      </c>
      <c r="R215">
        <f t="shared" si="18"/>
        <v>0</v>
      </c>
      <c r="S215">
        <f t="shared" si="19"/>
        <v>0.940315015348936</v>
      </c>
      <c r="T215">
        <f t="shared" si="20"/>
        <v>0.0615403371475266</v>
      </c>
    </row>
    <row r="216" spans="1:20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>SUMPRODUCT(A$4:M$4,A216:M216)+N$4</f>
        <v>2.39074084224693</v>
      </c>
      <c r="P216">
        <f t="shared" si="16"/>
        <v>0.916118515960105</v>
      </c>
      <c r="Q216">
        <f t="shared" si="17"/>
        <v>1</v>
      </c>
      <c r="R216">
        <f t="shared" si="18"/>
        <v>0</v>
      </c>
      <c r="S216">
        <f t="shared" si="19"/>
        <v>0.916118515960105</v>
      </c>
      <c r="T216">
        <f t="shared" si="20"/>
        <v>0.0876095384415032</v>
      </c>
    </row>
    <row r="217" spans="1:20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>SUMPRODUCT(A$4:M$4,A217:M217)+N$4</f>
        <v>0.502267239685789</v>
      </c>
      <c r="P217">
        <f t="shared" si="16"/>
        <v>0.622991992825639</v>
      </c>
      <c r="Q217">
        <f t="shared" si="17"/>
        <v>1</v>
      </c>
      <c r="R217">
        <f t="shared" si="18"/>
        <v>0</v>
      </c>
      <c r="S217">
        <f t="shared" si="19"/>
        <v>0.622991992825639</v>
      </c>
      <c r="T217">
        <f t="shared" si="20"/>
        <v>0.4732216128846</v>
      </c>
    </row>
    <row r="218" spans="1:20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>SUMPRODUCT(A$4:M$4,A218:M218)+N$4</f>
        <v>-1.27972779765025</v>
      </c>
      <c r="P218">
        <f t="shared" si="16"/>
        <v>0.217596562001338</v>
      </c>
      <c r="Q218">
        <f t="shared" si="17"/>
        <v>0</v>
      </c>
      <c r="R218">
        <f t="shared" si="18"/>
        <v>1</v>
      </c>
      <c r="S218">
        <f t="shared" si="19"/>
        <v>0.217596562001338</v>
      </c>
      <c r="T218">
        <f t="shared" si="20"/>
        <v>1.52511256375137</v>
      </c>
    </row>
    <row r="219" spans="1:20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>SUMPRODUCT(A$4:M$4,A219:M219)+N$4</f>
        <v>-4.56889496260153</v>
      </c>
      <c r="P219">
        <f t="shared" si="16"/>
        <v>0.0102629907972043</v>
      </c>
      <c r="Q219">
        <f t="shared" si="17"/>
        <v>0</v>
      </c>
      <c r="R219">
        <f t="shared" si="18"/>
        <v>0</v>
      </c>
      <c r="S219">
        <f t="shared" si="19"/>
        <v>0.989737009202796</v>
      </c>
      <c r="T219">
        <f t="shared" si="20"/>
        <v>0.0103160184138908</v>
      </c>
    </row>
    <row r="223" spans="1:18">
      <c r="A223" s="3" t="s">
        <v>37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4" t="s">
        <v>38</v>
      </c>
      <c r="O223" t="s">
        <v>31</v>
      </c>
      <c r="P223" t="s">
        <v>32</v>
      </c>
      <c r="Q223" t="s">
        <v>33</v>
      </c>
      <c r="R223" t="s">
        <v>34</v>
      </c>
    </row>
    <row r="224" spans="1:18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2.3</v>
      </c>
      <c r="K224">
        <v>3</v>
      </c>
      <c r="L224">
        <v>0</v>
      </c>
      <c r="M224">
        <v>6</v>
      </c>
      <c r="N224">
        <v>0</v>
      </c>
      <c r="O224">
        <f>SUMPRODUCT(A$4:M$4,A224:M224)+N$4</f>
        <v>-0.888945129265233</v>
      </c>
      <c r="P224">
        <f t="shared" ref="P224:P287" si="21">1/(1+EXP(0-O224))</f>
        <v>0.291327563681604</v>
      </c>
      <c r="Q224">
        <f>IF(P224&lt;0.5,0,1)</f>
        <v>0</v>
      </c>
      <c r="R224">
        <f>IF(N224=Q224,0,1)</f>
        <v>0</v>
      </c>
    </row>
    <row r="225" spans="1:18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>SUMPRODUCT(A$4:M$4,A225:M225)+N$4</f>
        <v>4.78105493418771</v>
      </c>
      <c r="P225">
        <f t="shared" si="21"/>
        <v>0.991682612733372</v>
      </c>
      <c r="Q225">
        <f t="shared" ref="Q225:Q288" si="22">IF(P225&lt;0.5,0,1)</f>
        <v>1</v>
      </c>
      <c r="R225">
        <f t="shared" ref="R225:R288" si="23">IF(N225=Q225,0,1)</f>
        <v>0</v>
      </c>
    </row>
    <row r="226" spans="1:18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>SUMPRODUCT(A$4:M$4,A226:M226)+N$4</f>
        <v>-0.747021449760075</v>
      </c>
      <c r="P226">
        <f t="shared" si="21"/>
        <v>0.321470658087745</v>
      </c>
      <c r="Q226">
        <f t="shared" si="22"/>
        <v>0</v>
      </c>
      <c r="R226">
        <f t="shared" si="23"/>
        <v>0</v>
      </c>
    </row>
    <row r="227" spans="1:18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>SUMPRODUCT(A$4:M$4,A227:M227)+N$4</f>
        <v>-4.04795320467402</v>
      </c>
      <c r="P227">
        <f t="shared" si="21"/>
        <v>0.0171585165895806</v>
      </c>
      <c r="Q227">
        <f t="shared" si="22"/>
        <v>0</v>
      </c>
      <c r="R227">
        <f t="shared" si="23"/>
        <v>0</v>
      </c>
    </row>
    <row r="228" spans="1:18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>SUMPRODUCT(A$4:M$4,A228:M228)+N$4</f>
        <v>2.60646031593827</v>
      </c>
      <c r="P228">
        <f t="shared" si="21"/>
        <v>0.931276199066616</v>
      </c>
      <c r="Q228">
        <f t="shared" si="22"/>
        <v>1</v>
      </c>
      <c r="R228">
        <f t="shared" si="23"/>
        <v>0</v>
      </c>
    </row>
    <row r="229" spans="1:18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>SUMPRODUCT(A$4:M$4,A229:M229)+N$4</f>
        <v>0.197022918259703</v>
      </c>
      <c r="P229">
        <f t="shared" si="21"/>
        <v>0.549097011448626</v>
      </c>
      <c r="Q229">
        <f t="shared" si="22"/>
        <v>1</v>
      </c>
      <c r="R229">
        <f t="shared" si="23"/>
        <v>1</v>
      </c>
    </row>
    <row r="230" spans="1:18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>SUMPRODUCT(A$4:M$4,A230:M230)+N$4</f>
        <v>1.51016444164086</v>
      </c>
      <c r="P230">
        <f t="shared" si="21"/>
        <v>0.81908557581158</v>
      </c>
      <c r="Q230">
        <f t="shared" si="22"/>
        <v>1</v>
      </c>
      <c r="R230">
        <f t="shared" si="23"/>
        <v>0</v>
      </c>
    </row>
    <row r="231" spans="1:18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>SUMPRODUCT(A$4:M$4,A231:M231)+N$4</f>
        <v>-0.899300656742233</v>
      </c>
      <c r="P231">
        <f t="shared" si="21"/>
        <v>0.289194233828427</v>
      </c>
      <c r="Q231">
        <f t="shared" si="22"/>
        <v>0</v>
      </c>
      <c r="R231">
        <f t="shared" si="23"/>
        <v>0</v>
      </c>
    </row>
    <row r="232" spans="1:18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>SUMPRODUCT(A$4:M$4,A232:M232)+N$4</f>
        <v>-1.33013073128008</v>
      </c>
      <c r="P232">
        <f t="shared" si="21"/>
        <v>0.209137741548699</v>
      </c>
      <c r="Q232">
        <f t="shared" si="22"/>
        <v>0</v>
      </c>
      <c r="R232">
        <f t="shared" si="23"/>
        <v>1</v>
      </c>
    </row>
    <row r="233" spans="1:18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>SUMPRODUCT(A$4:M$4,A233:M233)+N$4</f>
        <v>5.00337439500347</v>
      </c>
      <c r="P233">
        <f t="shared" si="21"/>
        <v>0.993329544943221</v>
      </c>
      <c r="Q233">
        <f t="shared" si="22"/>
        <v>1</v>
      </c>
      <c r="R233">
        <f t="shared" si="23"/>
        <v>0</v>
      </c>
    </row>
    <row r="234" spans="1:18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>SUMPRODUCT(A$4:M$4,A234:M234)+N$4</f>
        <v>-2.86813506509309</v>
      </c>
      <c r="P234">
        <f t="shared" si="21"/>
        <v>0.0537514278192246</v>
      </c>
      <c r="Q234">
        <f t="shared" si="22"/>
        <v>0</v>
      </c>
      <c r="R234">
        <f t="shared" si="23"/>
        <v>0</v>
      </c>
    </row>
    <row r="235" spans="1:18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>SUMPRODUCT(A$4:M$4,A235:M235)+N$4</f>
        <v>-1.20243736991853</v>
      </c>
      <c r="P235">
        <f t="shared" si="21"/>
        <v>0.231041905756574</v>
      </c>
      <c r="Q235">
        <f t="shared" si="22"/>
        <v>0</v>
      </c>
      <c r="R235">
        <f t="shared" si="23"/>
        <v>0</v>
      </c>
    </row>
    <row r="236" spans="1:18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>SUMPRODUCT(A$4:M$4,A236:M236)+N$4</f>
        <v>-1.93411746254934</v>
      </c>
      <c r="P236">
        <f t="shared" si="21"/>
        <v>0.126295539280903</v>
      </c>
      <c r="Q236">
        <f t="shared" si="22"/>
        <v>0</v>
      </c>
      <c r="R236">
        <f t="shared" si="23"/>
        <v>0</v>
      </c>
    </row>
    <row r="237" spans="1:18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>SUMPRODUCT(A$4:M$4,A237:M237)+N$4</f>
        <v>2.27733198105992</v>
      </c>
      <c r="P237">
        <f t="shared" si="21"/>
        <v>0.906982202443534</v>
      </c>
      <c r="Q237">
        <f t="shared" si="22"/>
        <v>1</v>
      </c>
      <c r="R237">
        <f t="shared" si="23"/>
        <v>0</v>
      </c>
    </row>
    <row r="238" spans="1:18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>SUMPRODUCT(A$4:M$4,A238:M238)+N$4</f>
        <v>-2.48296819308014</v>
      </c>
      <c r="P238">
        <f t="shared" si="21"/>
        <v>0.0770608317513371</v>
      </c>
      <c r="Q238">
        <f t="shared" si="22"/>
        <v>0</v>
      </c>
      <c r="R238">
        <f t="shared" si="23"/>
        <v>0</v>
      </c>
    </row>
    <row r="239" spans="1:18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>SUMPRODUCT(A$4:M$4,A239:M239)+N$4</f>
        <v>0.886316667188511</v>
      </c>
      <c r="P239">
        <f t="shared" si="21"/>
        <v>0.708129477546389</v>
      </c>
      <c r="Q239">
        <f t="shared" si="22"/>
        <v>1</v>
      </c>
      <c r="R239">
        <f t="shared" si="23"/>
        <v>0</v>
      </c>
    </row>
    <row r="240" spans="1:18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>SUMPRODUCT(A$4:M$4,A240:M240)+N$4</f>
        <v>-0.863892466112405</v>
      </c>
      <c r="P240">
        <f t="shared" si="21"/>
        <v>0.296526739979268</v>
      </c>
      <c r="Q240">
        <f t="shared" si="22"/>
        <v>0</v>
      </c>
      <c r="R240">
        <f t="shared" si="23"/>
        <v>0</v>
      </c>
    </row>
    <row r="241" spans="1:18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>SUMPRODUCT(A$4:M$4,A241:M241)+N$4</f>
        <v>-0.361920067550594</v>
      </c>
      <c r="P241">
        <f t="shared" si="21"/>
        <v>0.410494851323201</v>
      </c>
      <c r="Q241">
        <f t="shared" si="22"/>
        <v>0</v>
      </c>
      <c r="R241">
        <f t="shared" si="23"/>
        <v>1</v>
      </c>
    </row>
    <row r="242" spans="1:18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>SUMPRODUCT(A$4:M$4,A242:M242)+N$4</f>
        <v>-1.0895072402096</v>
      </c>
      <c r="P242">
        <f t="shared" si="21"/>
        <v>0.251711079630745</v>
      </c>
      <c r="Q242">
        <f t="shared" si="22"/>
        <v>0</v>
      </c>
      <c r="R242">
        <f t="shared" si="23"/>
        <v>0</v>
      </c>
    </row>
    <row r="243" spans="1:18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>SUMPRODUCT(A$4:M$4,A243:M243)+N$4</f>
        <v>-0.266662983636655</v>
      </c>
      <c r="P243">
        <f t="shared" si="21"/>
        <v>0.433726510385329</v>
      </c>
      <c r="Q243">
        <f t="shared" si="22"/>
        <v>0</v>
      </c>
      <c r="R243">
        <f t="shared" si="23"/>
        <v>0</v>
      </c>
    </row>
    <row r="244" spans="1:18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>SUMPRODUCT(A$4:M$4,A244:M244)+N$4</f>
        <v>-4.21285327968328</v>
      </c>
      <c r="P244">
        <f t="shared" si="21"/>
        <v>0.0145881045827797</v>
      </c>
      <c r="Q244">
        <f t="shared" si="22"/>
        <v>0</v>
      </c>
      <c r="R244">
        <f t="shared" si="23"/>
        <v>0</v>
      </c>
    </row>
    <row r="245" spans="1:18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>SUMPRODUCT(A$4:M$4,A245:M245)+N$4</f>
        <v>4.90122631819318</v>
      </c>
      <c r="P245">
        <f t="shared" si="21"/>
        <v>0.992617450604477</v>
      </c>
      <c r="Q245">
        <f t="shared" si="22"/>
        <v>1</v>
      </c>
      <c r="R245">
        <f t="shared" si="23"/>
        <v>0</v>
      </c>
    </row>
    <row r="246" spans="1:18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>SUMPRODUCT(A$4:M$4,A246:M246)+N$4</f>
        <v>-1.15734853624457</v>
      </c>
      <c r="P246">
        <f t="shared" si="21"/>
        <v>0.239149403725647</v>
      </c>
      <c r="Q246">
        <f t="shared" si="22"/>
        <v>0</v>
      </c>
      <c r="R246">
        <f t="shared" si="23"/>
        <v>1</v>
      </c>
    </row>
    <row r="247" spans="1:18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>SUMPRODUCT(A$4:M$4,A247:M247)+N$4</f>
        <v>-1.86569003682145</v>
      </c>
      <c r="P247">
        <f t="shared" si="21"/>
        <v>0.134041209305782</v>
      </c>
      <c r="Q247">
        <f t="shared" si="22"/>
        <v>0</v>
      </c>
      <c r="R247">
        <f t="shared" si="23"/>
        <v>0</v>
      </c>
    </row>
    <row r="248" spans="1:18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>SUMPRODUCT(A$4:M$4,A248:M248)+N$4</f>
        <v>1.92360237662973</v>
      </c>
      <c r="P248">
        <f t="shared" si="21"/>
        <v>0.872539607216057</v>
      </c>
      <c r="Q248">
        <f t="shared" si="22"/>
        <v>1</v>
      </c>
      <c r="R248">
        <f t="shared" si="23"/>
        <v>0</v>
      </c>
    </row>
    <row r="249" spans="1:18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>SUMPRODUCT(A$4:M$4,A249:M249)+N$4</f>
        <v>-2.25952077846201</v>
      </c>
      <c r="P249">
        <f t="shared" si="21"/>
        <v>0.0945313800430786</v>
      </c>
      <c r="Q249">
        <f t="shared" si="22"/>
        <v>0</v>
      </c>
      <c r="R249">
        <f t="shared" si="23"/>
        <v>0</v>
      </c>
    </row>
    <row r="250" spans="1:18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>SUMPRODUCT(A$4:M$4,A250:M250)+N$4</f>
        <v>-3.5057682634399</v>
      </c>
      <c r="P250">
        <f t="shared" si="21"/>
        <v>0.0291485510664973</v>
      </c>
      <c r="Q250">
        <f t="shared" si="22"/>
        <v>0</v>
      </c>
      <c r="R250">
        <f t="shared" si="23"/>
        <v>0</v>
      </c>
    </row>
    <row r="251" spans="1:18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>SUMPRODUCT(A$4:M$4,A251:M251)+N$4</f>
        <v>-2.36400885707173</v>
      </c>
      <c r="P251">
        <f t="shared" si="21"/>
        <v>0.085958696150897</v>
      </c>
      <c r="Q251">
        <f t="shared" si="22"/>
        <v>0</v>
      </c>
      <c r="R251">
        <f t="shared" si="23"/>
        <v>0</v>
      </c>
    </row>
    <row r="252" spans="1:18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>SUMPRODUCT(A$4:M$4,A252:M252)+N$4</f>
        <v>-2.43247654054708</v>
      </c>
      <c r="P252">
        <f t="shared" si="21"/>
        <v>0.0807294866619107</v>
      </c>
      <c r="Q252">
        <f t="shared" si="22"/>
        <v>0</v>
      </c>
      <c r="R252">
        <f t="shared" si="23"/>
        <v>0</v>
      </c>
    </row>
    <row r="253" spans="1:18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>SUMPRODUCT(A$4:M$4,A253:M253)+N$4</f>
        <v>-1.01745939062878</v>
      </c>
      <c r="P253">
        <f t="shared" si="21"/>
        <v>0.265522575780651</v>
      </c>
      <c r="Q253">
        <f t="shared" si="22"/>
        <v>0</v>
      </c>
      <c r="R253">
        <f t="shared" si="23"/>
        <v>0</v>
      </c>
    </row>
    <row r="254" spans="1:18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>SUMPRODUCT(A$4:M$4,A254:M254)+N$4</f>
        <v>1.41876007708038</v>
      </c>
      <c r="P254">
        <f t="shared" si="21"/>
        <v>0.805143962017615</v>
      </c>
      <c r="Q254">
        <f t="shared" si="22"/>
        <v>1</v>
      </c>
      <c r="R254">
        <f t="shared" si="23"/>
        <v>0</v>
      </c>
    </row>
    <row r="255" spans="1:18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>SUMPRODUCT(A$4:M$4,A255:M255)+N$4</f>
        <v>-2.80659778318039</v>
      </c>
      <c r="P255">
        <f t="shared" si="21"/>
        <v>0.0569686837024287</v>
      </c>
      <c r="Q255">
        <f t="shared" si="22"/>
        <v>0</v>
      </c>
      <c r="R255">
        <f t="shared" si="23"/>
        <v>0</v>
      </c>
    </row>
    <row r="256" spans="1:18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>SUMPRODUCT(A$4:M$4,A256:M256)+N$4</f>
        <v>5.74669442364982</v>
      </c>
      <c r="P256">
        <f t="shared" si="21"/>
        <v>0.99681684569805</v>
      </c>
      <c r="Q256">
        <f t="shared" si="22"/>
        <v>1</v>
      </c>
      <c r="R256">
        <f t="shared" si="23"/>
        <v>0</v>
      </c>
    </row>
    <row r="257" spans="1:18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>SUMPRODUCT(A$4:M$4,A257:M257)+N$4</f>
        <v>-3.39593063059288</v>
      </c>
      <c r="P257">
        <f t="shared" si="21"/>
        <v>0.0324228848724415</v>
      </c>
      <c r="Q257">
        <f t="shared" si="22"/>
        <v>0</v>
      </c>
      <c r="R257">
        <f t="shared" si="23"/>
        <v>0</v>
      </c>
    </row>
    <row r="258" spans="1:18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>SUMPRODUCT(A$4:M$4,A258:M258)+N$4</f>
        <v>-3.20839889949141</v>
      </c>
      <c r="P258">
        <f t="shared" si="21"/>
        <v>0.0388508778101972</v>
      </c>
      <c r="Q258">
        <f t="shared" si="22"/>
        <v>0</v>
      </c>
      <c r="R258">
        <f t="shared" si="23"/>
        <v>0</v>
      </c>
    </row>
    <row r="259" spans="1:18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>SUMPRODUCT(A$4:M$4,A259:M259)+N$4</f>
        <v>-3.33087487980678</v>
      </c>
      <c r="P259">
        <f t="shared" si="21"/>
        <v>0.0345270543436134</v>
      </c>
      <c r="Q259">
        <f t="shared" si="22"/>
        <v>0</v>
      </c>
      <c r="R259">
        <f t="shared" si="23"/>
        <v>1</v>
      </c>
    </row>
    <row r="260" spans="1:18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>SUMPRODUCT(A$4:M$4,A260:M260)+N$4</f>
        <v>4.14866077602824</v>
      </c>
      <c r="P260">
        <f t="shared" si="21"/>
        <v>0.984459768279064</v>
      </c>
      <c r="Q260">
        <f t="shared" si="22"/>
        <v>1</v>
      </c>
      <c r="R260">
        <f t="shared" si="23"/>
        <v>0</v>
      </c>
    </row>
    <row r="261" spans="1:18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>SUMPRODUCT(A$4:M$4,A261:M261)+N$4</f>
        <v>5.12220578682998</v>
      </c>
      <c r="P261">
        <f t="shared" si="21"/>
        <v>0.994072489300428</v>
      </c>
      <c r="Q261">
        <f t="shared" si="22"/>
        <v>1</v>
      </c>
      <c r="R261">
        <f t="shared" si="23"/>
        <v>0</v>
      </c>
    </row>
    <row r="262" spans="1:18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>SUMPRODUCT(A$4:M$4,A262:M262)+N$4</f>
        <v>2.14728972309883</v>
      </c>
      <c r="P262">
        <f t="shared" si="21"/>
        <v>0.89541524002152</v>
      </c>
      <c r="Q262">
        <f t="shared" si="22"/>
        <v>1</v>
      </c>
      <c r="R262">
        <f t="shared" si="23"/>
        <v>0</v>
      </c>
    </row>
    <row r="263" spans="1:18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>SUMPRODUCT(A$4:M$4,A263:M263)+N$4</f>
        <v>4.6536394011351</v>
      </c>
      <c r="P263">
        <f t="shared" si="21"/>
        <v>0.99056303800696</v>
      </c>
      <c r="Q263">
        <f t="shared" si="22"/>
        <v>1</v>
      </c>
      <c r="R263">
        <f t="shared" si="23"/>
        <v>0</v>
      </c>
    </row>
    <row r="264" spans="1:18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>SUMPRODUCT(A$4:M$4,A264:M264)+N$4</f>
        <v>2.47901184525313</v>
      </c>
      <c r="P264">
        <f t="shared" si="21"/>
        <v>0.922657311797557</v>
      </c>
      <c r="Q264">
        <f t="shared" si="22"/>
        <v>1</v>
      </c>
      <c r="R264">
        <f t="shared" si="23"/>
        <v>1</v>
      </c>
    </row>
    <row r="265" spans="1:18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>SUMPRODUCT(A$4:M$4,A265:M265)+N$4</f>
        <v>-1.56560187207347</v>
      </c>
      <c r="P265">
        <f t="shared" si="21"/>
        <v>0.172844283820668</v>
      </c>
      <c r="Q265">
        <f t="shared" si="22"/>
        <v>0</v>
      </c>
      <c r="R265">
        <f t="shared" si="23"/>
        <v>1</v>
      </c>
    </row>
    <row r="266" spans="1:18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>SUMPRODUCT(A$4:M$4,A266:M266)+N$4</f>
        <v>-2.13994529372537</v>
      </c>
      <c r="P266">
        <f t="shared" si="21"/>
        <v>0.105274542294431</v>
      </c>
      <c r="Q266">
        <f t="shared" si="22"/>
        <v>0</v>
      </c>
      <c r="R266">
        <f t="shared" si="23"/>
        <v>0</v>
      </c>
    </row>
    <row r="267" spans="1:18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>SUMPRODUCT(A$4:M$4,A267:M267)+N$4</f>
        <v>-1.18485844004572</v>
      </c>
      <c r="P267">
        <f t="shared" si="21"/>
        <v>0.234179760530501</v>
      </c>
      <c r="Q267">
        <f t="shared" si="22"/>
        <v>0</v>
      </c>
      <c r="R267">
        <f t="shared" si="23"/>
        <v>0</v>
      </c>
    </row>
    <row r="268" spans="1:18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>SUMPRODUCT(A$4:M$4,A268:M268)+N$4</f>
        <v>4.62591440314971</v>
      </c>
      <c r="P268">
        <f t="shared" si="21"/>
        <v>0.990300310853187</v>
      </c>
      <c r="Q268">
        <f t="shared" si="22"/>
        <v>1</v>
      </c>
      <c r="R268">
        <f t="shared" si="23"/>
        <v>0</v>
      </c>
    </row>
    <row r="269" spans="1:18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>SUMPRODUCT(A$4:M$4,A269:M269)+N$4</f>
        <v>0.644926026000757</v>
      </c>
      <c r="P269">
        <f t="shared" si="21"/>
        <v>0.655866145043732</v>
      </c>
      <c r="Q269">
        <f t="shared" si="22"/>
        <v>1</v>
      </c>
      <c r="R269">
        <f t="shared" si="23"/>
        <v>0</v>
      </c>
    </row>
    <row r="270" spans="1:18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>SUMPRODUCT(A$4:M$4,A270:M270)+N$4</f>
        <v>7.18605919478625</v>
      </c>
      <c r="P270">
        <f t="shared" si="21"/>
        <v>0.999243506014395</v>
      </c>
      <c r="Q270">
        <f t="shared" si="22"/>
        <v>1</v>
      </c>
      <c r="R270">
        <f t="shared" si="23"/>
        <v>0</v>
      </c>
    </row>
    <row r="271" spans="1:18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>SUMPRODUCT(A$4:M$4,A271:M271)+N$4</f>
        <v>3.45104987877472</v>
      </c>
      <c r="P271">
        <f t="shared" si="21"/>
        <v>0.969262434851616</v>
      </c>
      <c r="Q271">
        <f t="shared" si="22"/>
        <v>1</v>
      </c>
      <c r="R271">
        <f t="shared" si="23"/>
        <v>0</v>
      </c>
    </row>
    <row r="272" spans="1:18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>SUMPRODUCT(A$4:M$4,A272:M272)+N$4</f>
        <v>-1.72886274462991</v>
      </c>
      <c r="P272">
        <f t="shared" si="21"/>
        <v>0.150733104984495</v>
      </c>
      <c r="Q272">
        <f t="shared" si="22"/>
        <v>0</v>
      </c>
      <c r="R272">
        <f t="shared" si="23"/>
        <v>0</v>
      </c>
    </row>
    <row r="273" spans="1:18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>SUMPRODUCT(A$4:M$4,A273:M273)+N$4</f>
        <v>-3.0217145940739</v>
      </c>
      <c r="P273">
        <f t="shared" si="21"/>
        <v>0.0464544649981323</v>
      </c>
      <c r="Q273">
        <f t="shared" si="22"/>
        <v>0</v>
      </c>
      <c r="R273">
        <f t="shared" si="23"/>
        <v>0</v>
      </c>
    </row>
    <row r="274" spans="1:18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>SUMPRODUCT(A$4:M$4,A274:M274)+N$4</f>
        <v>-1.44640886168032</v>
      </c>
      <c r="P274">
        <f t="shared" si="21"/>
        <v>0.190554861049003</v>
      </c>
      <c r="Q274">
        <f t="shared" si="22"/>
        <v>0</v>
      </c>
      <c r="R274">
        <f t="shared" si="23"/>
        <v>0</v>
      </c>
    </row>
    <row r="275" spans="1:18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>SUMPRODUCT(A$4:M$4,A275:M275)+N$4</f>
        <v>5.27271869776727</v>
      </c>
      <c r="P275">
        <f t="shared" si="21"/>
        <v>0.994896533333283</v>
      </c>
      <c r="Q275">
        <f t="shared" si="22"/>
        <v>1</v>
      </c>
      <c r="R275">
        <f t="shared" si="23"/>
        <v>0</v>
      </c>
    </row>
    <row r="276" spans="1:18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>SUMPRODUCT(A$4:M$4,A276:M276)+N$4</f>
        <v>2.50792502607328</v>
      </c>
      <c r="P276">
        <f t="shared" si="21"/>
        <v>0.924695529658471</v>
      </c>
      <c r="Q276">
        <f t="shared" si="22"/>
        <v>1</v>
      </c>
      <c r="R276">
        <f t="shared" si="23"/>
        <v>0</v>
      </c>
    </row>
    <row r="277" spans="1:18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>SUMPRODUCT(A$4:M$4,A277:M277)+N$4</f>
        <v>-0.40917085873315</v>
      </c>
      <c r="P277">
        <f t="shared" si="21"/>
        <v>0.399110950327054</v>
      </c>
      <c r="Q277">
        <f t="shared" si="22"/>
        <v>0</v>
      </c>
      <c r="R277">
        <f t="shared" si="23"/>
        <v>1</v>
      </c>
    </row>
    <row r="278" spans="1:18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>SUMPRODUCT(A$4:M$4,A278:M278)+N$4</f>
        <v>-1.52165792856998</v>
      </c>
      <c r="P278">
        <f t="shared" si="21"/>
        <v>0.179217510728444</v>
      </c>
      <c r="Q278">
        <f t="shared" si="22"/>
        <v>0</v>
      </c>
      <c r="R278">
        <f t="shared" si="23"/>
        <v>1</v>
      </c>
    </row>
    <row r="279" spans="1:18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>SUMPRODUCT(A$4:M$4,A279:M279)+N$4</f>
        <v>-0.401946617570371</v>
      </c>
      <c r="P279">
        <f t="shared" si="21"/>
        <v>0.400844734076488</v>
      </c>
      <c r="Q279">
        <f t="shared" si="22"/>
        <v>0</v>
      </c>
      <c r="R279">
        <f t="shared" si="23"/>
        <v>0</v>
      </c>
    </row>
    <row r="280" spans="1:18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>SUMPRODUCT(A$4:M$4,A280:M280)+N$4</f>
        <v>1.98365594345692</v>
      </c>
      <c r="P280">
        <f t="shared" si="21"/>
        <v>0.879070348554378</v>
      </c>
      <c r="Q280">
        <f t="shared" si="22"/>
        <v>1</v>
      </c>
      <c r="R280">
        <f t="shared" si="23"/>
        <v>1</v>
      </c>
    </row>
    <row r="281" spans="1:18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>SUMPRODUCT(A$4:M$4,A281:M281)+N$4</f>
        <v>-3.2004473947265</v>
      </c>
      <c r="P281">
        <f t="shared" si="21"/>
        <v>0.0391488900125622</v>
      </c>
      <c r="Q281">
        <f t="shared" si="22"/>
        <v>0</v>
      </c>
      <c r="R281">
        <f t="shared" si="23"/>
        <v>0</v>
      </c>
    </row>
    <row r="282" spans="1:18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>SUMPRODUCT(A$4:M$4,A282:M282)+N$4</f>
        <v>5.26106292467402</v>
      </c>
      <c r="P282">
        <f t="shared" si="21"/>
        <v>0.994837009378586</v>
      </c>
      <c r="Q282">
        <f t="shared" si="22"/>
        <v>1</v>
      </c>
      <c r="R282">
        <f t="shared" si="23"/>
        <v>0</v>
      </c>
    </row>
    <row r="283" spans="1:18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>SUMPRODUCT(A$4:M$4,A283:M283)+N$4</f>
        <v>-0.0594128682157962</v>
      </c>
      <c r="P283">
        <f t="shared" si="21"/>
        <v>0.485151150588174</v>
      </c>
      <c r="Q283">
        <f t="shared" si="22"/>
        <v>0</v>
      </c>
      <c r="R283">
        <f t="shared" si="23"/>
        <v>1</v>
      </c>
    </row>
    <row r="284" spans="1:18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>SUMPRODUCT(A$4:M$4,A284:M284)+N$4</f>
        <v>-3.57763251051424</v>
      </c>
      <c r="P284">
        <f t="shared" si="21"/>
        <v>0.0271822515886331</v>
      </c>
      <c r="Q284">
        <f t="shared" si="22"/>
        <v>0</v>
      </c>
      <c r="R284">
        <f t="shared" si="23"/>
        <v>0</v>
      </c>
    </row>
    <row r="285" spans="1:18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>SUMPRODUCT(A$4:M$4,A285:M285)+N$4</f>
        <v>-2.91755664452019</v>
      </c>
      <c r="P285">
        <f t="shared" si="21"/>
        <v>0.0512924681142244</v>
      </c>
      <c r="Q285">
        <f t="shared" si="22"/>
        <v>0</v>
      </c>
      <c r="R285">
        <f t="shared" si="23"/>
        <v>0</v>
      </c>
    </row>
    <row r="286" spans="1:18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>SUMPRODUCT(A$4:M$4,A286:M286)+N$4</f>
        <v>-3.4971283550168</v>
      </c>
      <c r="P286">
        <f t="shared" si="21"/>
        <v>0.029394048266908</v>
      </c>
      <c r="Q286">
        <f t="shared" si="22"/>
        <v>0</v>
      </c>
      <c r="R286">
        <f t="shared" si="23"/>
        <v>0</v>
      </c>
    </row>
    <row r="287" spans="1:18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>SUMPRODUCT(A$4:M$4,A287:M287)+N$4</f>
        <v>-0.333508447505787</v>
      </c>
      <c r="P287">
        <f t="shared" si="21"/>
        <v>0.417387209510646</v>
      </c>
      <c r="Q287">
        <f t="shared" si="22"/>
        <v>0</v>
      </c>
      <c r="R287">
        <f t="shared" si="23"/>
        <v>1</v>
      </c>
    </row>
    <row r="288" spans="1:18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>SUMPRODUCT(A$4:M$4,A288:M288)+N$4</f>
        <v>2.05835683980021</v>
      </c>
      <c r="P288">
        <f t="shared" ref="P288:P306" si="24">1/(1+EXP(0-O288))</f>
        <v>0.886789311269819</v>
      </c>
      <c r="Q288">
        <f t="shared" si="22"/>
        <v>1</v>
      </c>
      <c r="R288">
        <f t="shared" si="23"/>
        <v>0</v>
      </c>
    </row>
    <row r="289" spans="1:18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>SUMPRODUCT(A$4:M$4,A289:M289)+N$4</f>
        <v>-3.56821667531615</v>
      </c>
      <c r="P289">
        <f t="shared" si="24"/>
        <v>0.027432349648841</v>
      </c>
      <c r="Q289">
        <f t="shared" ref="Q289:Q306" si="25">IF(P289&lt;0.5,0,1)</f>
        <v>0</v>
      </c>
      <c r="R289">
        <f t="shared" ref="R289:R306" si="26">IF(N289=Q289,0,1)</f>
        <v>0</v>
      </c>
    </row>
    <row r="290" spans="1:18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>SUMPRODUCT(A$4:M$4,A290:M290)+N$4</f>
        <v>3.41199641941141</v>
      </c>
      <c r="P290">
        <f t="shared" si="24"/>
        <v>0.968077356721166</v>
      </c>
      <c r="Q290">
        <f t="shared" si="25"/>
        <v>1</v>
      </c>
      <c r="R290">
        <f t="shared" si="26"/>
        <v>0</v>
      </c>
    </row>
    <row r="291" spans="1:18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>SUMPRODUCT(A$4:M$4,A291:M291)+N$4</f>
        <v>-3.27788948248939</v>
      </c>
      <c r="P291">
        <f t="shared" si="24"/>
        <v>0.036337548365669</v>
      </c>
      <c r="Q291">
        <f t="shared" si="25"/>
        <v>0</v>
      </c>
      <c r="R291">
        <f t="shared" si="26"/>
        <v>0</v>
      </c>
    </row>
    <row r="292" spans="1:18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>SUMPRODUCT(A$4:M$4,A292:M292)+N$4</f>
        <v>-0.653560098661197</v>
      </c>
      <c r="P292">
        <f t="shared" si="24"/>
        <v>0.3421877262668</v>
      </c>
      <c r="Q292">
        <f t="shared" si="25"/>
        <v>0</v>
      </c>
      <c r="R292">
        <f t="shared" si="26"/>
        <v>0</v>
      </c>
    </row>
    <row r="293" spans="1:18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>SUMPRODUCT(A$4:M$4,A293:M293)+N$4</f>
        <v>-2.26444767551725</v>
      </c>
      <c r="P293">
        <f t="shared" si="24"/>
        <v>0.0941105029514207</v>
      </c>
      <c r="Q293">
        <f t="shared" si="25"/>
        <v>0</v>
      </c>
      <c r="R293">
        <f t="shared" si="26"/>
        <v>0</v>
      </c>
    </row>
    <row r="294" spans="1:18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>SUMPRODUCT(A$4:M$4,A294:M294)+N$4</f>
        <v>-2.22517222385968</v>
      </c>
      <c r="P294">
        <f t="shared" si="24"/>
        <v>0.09751267960902</v>
      </c>
      <c r="Q294">
        <f t="shared" si="25"/>
        <v>0</v>
      </c>
      <c r="R294">
        <f t="shared" si="26"/>
        <v>1</v>
      </c>
    </row>
    <row r="295" spans="1:18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>SUMPRODUCT(A$4:M$4,A295:M295)+N$4</f>
        <v>-1.50739011359761</v>
      </c>
      <c r="P295">
        <f t="shared" si="24"/>
        <v>0.181325900306409</v>
      </c>
      <c r="Q295">
        <f t="shared" si="25"/>
        <v>0</v>
      </c>
      <c r="R295">
        <f t="shared" si="26"/>
        <v>0</v>
      </c>
    </row>
    <row r="296" spans="1:18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>SUMPRODUCT(A$4:M$4,A296:M296)+N$4</f>
        <v>-3.32564469366567</v>
      </c>
      <c r="P296">
        <f t="shared" si="24"/>
        <v>0.0347018273566708</v>
      </c>
      <c r="Q296">
        <f t="shared" si="25"/>
        <v>0</v>
      </c>
      <c r="R296">
        <f t="shared" si="26"/>
        <v>0</v>
      </c>
    </row>
    <row r="297" spans="1:18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>SUMPRODUCT(A$4:M$4,A297:M297)+N$4</f>
        <v>5.36500414750295</v>
      </c>
      <c r="P297">
        <f t="shared" si="24"/>
        <v>0.99534433575327</v>
      </c>
      <c r="Q297">
        <f t="shared" si="25"/>
        <v>1</v>
      </c>
      <c r="R297">
        <f t="shared" si="26"/>
        <v>0</v>
      </c>
    </row>
    <row r="298" spans="1:18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>SUMPRODUCT(A$4:M$4,A298:M298)+N$4</f>
        <v>-1.64190497813862</v>
      </c>
      <c r="P298">
        <f t="shared" si="24"/>
        <v>0.162206018531907</v>
      </c>
      <c r="Q298">
        <f t="shared" si="25"/>
        <v>0</v>
      </c>
      <c r="R298">
        <f t="shared" si="26"/>
        <v>1</v>
      </c>
    </row>
    <row r="299" spans="1:18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>SUMPRODUCT(A$4:M$4,A299:M299)+N$4</f>
        <v>-0.688501917071422</v>
      </c>
      <c r="P299">
        <f t="shared" si="24"/>
        <v>0.334366412071363</v>
      </c>
      <c r="Q299">
        <f t="shared" si="25"/>
        <v>0</v>
      </c>
      <c r="R299">
        <f t="shared" si="26"/>
        <v>0</v>
      </c>
    </row>
    <row r="300" spans="1:18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>SUMPRODUCT(A$4:M$4,A300:M300)+N$4</f>
        <v>-1.24949815520137</v>
      </c>
      <c r="P300">
        <f t="shared" si="24"/>
        <v>0.222787022651339</v>
      </c>
      <c r="Q300">
        <f t="shared" si="25"/>
        <v>0</v>
      </c>
      <c r="R300">
        <f t="shared" si="26"/>
        <v>1</v>
      </c>
    </row>
    <row r="301" spans="1:18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>SUMPRODUCT(A$4:M$4,A301:M301)+N$4</f>
        <v>-3.193835078741</v>
      </c>
      <c r="P301">
        <f t="shared" si="24"/>
        <v>0.0393983799328977</v>
      </c>
      <c r="Q301">
        <f t="shared" si="25"/>
        <v>0</v>
      </c>
      <c r="R301">
        <f t="shared" si="26"/>
        <v>0</v>
      </c>
    </row>
    <row r="302" spans="1:18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>SUMPRODUCT(A$4:M$4,A302:M302)+N$4</f>
        <v>-4.18564510155745</v>
      </c>
      <c r="P302">
        <f t="shared" si="24"/>
        <v>0.014984440104469</v>
      </c>
      <c r="Q302">
        <f t="shared" si="25"/>
        <v>0</v>
      </c>
      <c r="R302">
        <f t="shared" si="26"/>
        <v>0</v>
      </c>
    </row>
    <row r="303" spans="1:18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>SUMPRODUCT(A$4:M$4,A303:M303)+N$4</f>
        <v>-2.17950416869358</v>
      </c>
      <c r="P303">
        <f t="shared" si="24"/>
        <v>0.101606179611595</v>
      </c>
      <c r="Q303">
        <f t="shared" si="25"/>
        <v>0</v>
      </c>
      <c r="R303">
        <f t="shared" si="26"/>
        <v>0</v>
      </c>
    </row>
    <row r="304" spans="1:18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>SUMPRODUCT(A$4:M$4,A304:M304)+N$4</f>
        <v>-2.54393777914274</v>
      </c>
      <c r="P304">
        <f t="shared" si="24"/>
        <v>0.0728348078914367</v>
      </c>
      <c r="Q304">
        <f t="shared" si="25"/>
        <v>0</v>
      </c>
      <c r="R304">
        <f t="shared" si="26"/>
        <v>0</v>
      </c>
    </row>
    <row r="305" spans="1:18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>SUMPRODUCT(A$4:M$4,A305:M305)+N$4</f>
        <v>4.48629778880412</v>
      </c>
      <c r="P305">
        <f t="shared" si="24"/>
        <v>0.988863163970314</v>
      </c>
      <c r="Q305">
        <f t="shared" si="25"/>
        <v>1</v>
      </c>
      <c r="R305">
        <f t="shared" si="26"/>
        <v>0</v>
      </c>
    </row>
    <row r="306" spans="1:18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>SUMPRODUCT(A$4:M$4,A306:M306)+N$4</f>
        <v>-2.09887966810594</v>
      </c>
      <c r="P306">
        <f t="shared" si="24"/>
        <v>0.1092057592204</v>
      </c>
      <c r="Q306">
        <f t="shared" si="25"/>
        <v>0</v>
      </c>
      <c r="R306">
        <f t="shared" si="26"/>
        <v>1</v>
      </c>
    </row>
  </sheetData>
  <mergeCells count="1">
    <mergeCell ref="A223:M22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LR-log-likelihoods</vt:lpstr>
      <vt:lpstr>LR-log-loss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2006-09-16T00:00:00Z</dcterms:created>
  <dcterms:modified xsi:type="dcterms:W3CDTF">2025-11-18T09:09:09Z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ACF569B169294D21B08E1E835B0B183B_12</vt:lpwstr>
  </property>
  <property fmtid="{D5CDD505-2E9C-101B-9397-08002B2CF9AE}" pid="3" name="KSOProductBuildVer">
    <vt:lpwstr>1033-12.2.0.23155</vt:lpwstr>
  </property>
</Properties>
</file>