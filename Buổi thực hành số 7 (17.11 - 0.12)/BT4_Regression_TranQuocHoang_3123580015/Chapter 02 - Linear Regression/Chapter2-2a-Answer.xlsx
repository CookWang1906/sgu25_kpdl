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temp-sa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<sst xmlns="http://schemas.openxmlformats.org/spreadsheetml/2006/main" count="11" uniqueCount="9">
  <si>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 xml:space="preserve">Temperature </t>
  </si>
  <si>
    <t>Tourists</t>
  </si>
  <si>
    <t>Sunny Days</t>
  </si>
  <si>
    <t>Ice Cream Sale (dollar in thousand)</t>
  </si>
  <si>
    <t>Predicted</t>
  </si>
  <si>
    <t>Error</t>
  </si>
  <si>
    <t>Sum of Errors</t>
  </si>
  <si>
    <t>Temperature</t>
  </si>
  <si>
    <t>Y-intercept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</si>
</sst>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F10" sqref="F10"/>
    </sheetView>
  </sheetViews>
  <sheetFormatPr defaultColWidth="9" defaultRowHeight="15" outlineLevelCol="5"/>
  <cols>
    <col min="1" max="1" width="15.5714285714286" customWidth="1"/>
    <col min="2" max="2" width="15.8571428571429" customWidth="1"/>
    <col min="3" max="3" width="14.7142857142857" customWidth="1"/>
    <col min="4" max="5" width="32.4285714285714" customWidth="1"/>
    <col min="6" max="6" width="12.8571428571429"/>
  </cols>
  <sheetData>
    <row r="1" ht="37.5" spans="1:6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ht="18.75" spans="1:6">
      <c r="A2" s="2">
        <v>91</v>
      </c>
      <c r="B2" s="2">
        <v>998</v>
      </c>
      <c r="C2" s="2">
        <v>4</v>
      </c>
      <c r="D2" s="2">
        <v>89.8</v>
      </c>
      <c r="E2">
        <f>A2*C$13+B2*C$12+C2*C$11+C$14</f>
        <v>88.7705998926749</v>
      </c>
      <c r="F2">
        <f>POWER(D2-E2,2)</f>
        <v>1.05966458096102</v>
      </c>
    </row>
    <row r="3" ht="18.75" spans="1:6">
      <c r="A3" s="2">
        <v>87</v>
      </c>
      <c r="B3" s="2">
        <v>1256</v>
      </c>
      <c r="C3" s="2">
        <v>7</v>
      </c>
      <c r="D3" s="2">
        <v>90.2</v>
      </c>
      <c r="E3">
        <f t="shared" ref="E3:E9" si="0">A3*C$13+B3*C$12+C3*C$11+C$14</f>
        <v>90.3907256065278</v>
      </c>
      <c r="F3">
        <f t="shared" ref="F3:F9" si="1">POWER(D3-E3,2)</f>
        <v>0.0363762569853887</v>
      </c>
    </row>
    <row r="4" ht="18.75" spans="1:6">
      <c r="A4" s="2">
        <v>86</v>
      </c>
      <c r="B4" s="2">
        <v>791</v>
      </c>
      <c r="C4" s="2">
        <v>6</v>
      </c>
      <c r="D4" s="2">
        <v>81.1</v>
      </c>
      <c r="E4">
        <f t="shared" si="0"/>
        <v>81.0853583470458</v>
      </c>
      <c r="F4">
        <f t="shared" si="1"/>
        <v>0.000214378001230302</v>
      </c>
    </row>
    <row r="5" ht="18.75" spans="1:6">
      <c r="A5" s="2">
        <v>88</v>
      </c>
      <c r="B5" s="2">
        <v>705</v>
      </c>
      <c r="C5" s="2">
        <v>5</v>
      </c>
      <c r="D5" s="2">
        <v>83</v>
      </c>
      <c r="E5">
        <f t="shared" si="0"/>
        <v>83.1955926784927</v>
      </c>
      <c r="F5">
        <f t="shared" si="1"/>
        <v>0.0382564958799438</v>
      </c>
    </row>
    <row r="6" ht="18.75" spans="1:6">
      <c r="A6" s="2">
        <v>92.8</v>
      </c>
      <c r="B6" s="2">
        <v>1089</v>
      </c>
      <c r="C6" s="2">
        <v>3</v>
      </c>
      <c r="D6" s="2">
        <v>90.9</v>
      </c>
      <c r="E6">
        <f t="shared" si="0"/>
        <v>89.8472723548037</v>
      </c>
      <c r="F6">
        <f t="shared" si="1"/>
        <v>1.10823549496046</v>
      </c>
    </row>
    <row r="7" ht="18.75" spans="1:6">
      <c r="A7" s="2">
        <v>95.2</v>
      </c>
      <c r="B7" s="2">
        <v>1135</v>
      </c>
      <c r="C7" s="2">
        <v>6</v>
      </c>
      <c r="D7" s="2">
        <v>119</v>
      </c>
      <c r="E7">
        <f t="shared" si="0"/>
        <v>117.195685797485</v>
      </c>
      <c r="F7">
        <f t="shared" si="1"/>
        <v>3.25554974139714</v>
      </c>
    </row>
    <row r="8" ht="18.75" spans="1:6">
      <c r="A8" s="2">
        <v>93.3</v>
      </c>
      <c r="B8" s="2">
        <v>1076</v>
      </c>
      <c r="C8" s="2">
        <v>4</v>
      </c>
      <c r="D8" s="2">
        <v>94.9</v>
      </c>
      <c r="E8">
        <f t="shared" si="0"/>
        <v>97.8089604670812</v>
      </c>
      <c r="F8">
        <f t="shared" si="1"/>
        <v>8.46205099904153</v>
      </c>
    </row>
    <row r="9" ht="18.75" spans="1:6">
      <c r="A9" s="2">
        <v>97.7</v>
      </c>
      <c r="B9" s="2">
        <v>1198</v>
      </c>
      <c r="C9" s="2">
        <v>7</v>
      </c>
      <c r="D9" s="2">
        <v>132.4</v>
      </c>
      <c r="E9">
        <f t="shared" si="0"/>
        <v>133.005804855889</v>
      </c>
      <c r="F9">
        <f t="shared" si="1"/>
        <v>0.366999523418595</v>
      </c>
    </row>
    <row r="11" spans="1:5">
      <c r="A11" t="s">
        <v>2</v>
      </c>
      <c r="B11">
        <v>1</v>
      </c>
      <c r="C11">
        <f>INDEX(LINEST(D$2:D$9,A$2:C$9,TRUE,TRUE),1,B11)</f>
        <v>5.95646552855966</v>
      </c>
      <c r="D11" t="s">
        <v>6</v>
      </c>
      <c r="E11" s="3">
        <f>SUM(F2:F9)</f>
        <v>14.3273474706453</v>
      </c>
    </row>
    <row r="12" spans="1:3">
      <c r="A12" t="s">
        <v>1</v>
      </c>
      <c r="B12">
        <v>2</v>
      </c>
      <c r="C12">
        <f>INDEX(LINEST(D$2:D$9,A$2:C$9,TRUE,TRUE),1,B12)</f>
        <v>-0.00134733897456874</v>
      </c>
    </row>
    <row r="13" spans="1:3">
      <c r="A13" t="s">
        <v>7</v>
      </c>
      <c r="B13">
        <v>3</v>
      </c>
      <c r="C13">
        <f>INDEX(LINEST(D$2:D$9,A$2:C$9,TRUE,TRUE),1,B13)</f>
        <v>3.97541435409683</v>
      </c>
    </row>
    <row r="14" spans="1:3">
      <c r="A14" t="s">
        <v>8</v>
      </c>
      <c r="B14">
        <v>4</v>
      </c>
      <c r="C14">
        <f>INDEX(LINEST(D$2:D$9,A$2:C$9,TRUE,TRUE),1,B14)</f>
        <v>-295.473324147756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temp-sale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Sói</cp:lastModifiedBy>
  <dcterms:created xsi:type="dcterms:W3CDTF">2015-06-05T18:17:00Z</dcterms:created>
  <dcterms:modified xsi:type="dcterms:W3CDTF">2025-11-18T08:17:27Z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DFDC24BB70C946E9A0FC5DFE892B755E_12</vt:lpwstr>
  </property>
  <property fmtid="{D5CDD505-2E9C-101B-9397-08002B2CF9AE}" pid="3" name="KSOProductBuildVer">
    <vt:lpwstr>1033-12.2.0.23155</vt:lpwstr>
  </property>
</Properties>
</file>