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temp-sa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<sst xmlns="http://schemas.openxmlformats.org/spreadsheetml/2006/main" count="11" uniqueCount="11">
  <si>
    <t>Temperature (F)</t>
  </si>
  <si>
    <t>Ice Cream Sale (dollar in thousand)</t>
  </si>
  <si>
    <t>SUM(X)</t>
  </si>
  <si>
    <t>SUM(Y)</t>
  </si>
  <si>
    <t>SUM(XY)</t>
  </si>
  <si>
    <t>SUM(X^2)</t>
  </si>
  <si>
    <t>n</t>
  </si>
  <si>
    <t>m</t>
  </si>
  <si>
    <t>b</t>
  </si>
  <si>
    <t>Scoring Data</t>
  </si>
  <si>
    <t>Prediction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</si>
</sst>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0.0"/>
  </numFmts>
  <fonts count="23">
    <font>
      <sz val="11"/>
      <color theme="1"/>
      <name val="Calibri"/>
      <charset val="134"/>
      <scheme val="minor"/>
    </font>
    <font>
      <b/>
      <sz val="12"/>
      <color theme="1"/>
      <name val="Calibri"/>
      <charset val="134"/>
      <scheme val="minor"/>
    </font>
    <font>
      <sz val="12"/>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0" borderId="0" xfId="0" applyFont="1" applyAlignment="1">
      <alignment horizontal="center"/>
    </xf>
    <xf numFmtId="0" fontId="2" fillId="0" borderId="0" xfId="0" applyNumberFormat="1" applyFont="1" applyAlignment="1">
      <alignment horizontal="center"/>
    </xf>
    <xf numFmtId="0" fontId="2" fillId="0" borderId="0" xfId="0" applyFont="1" applyAlignment="1">
      <alignment horizontal="center"/>
    </xf>
    <xf numFmtId="180" fontId="2" fillId="0" borderId="0" xfId="0" applyNumberFormat="1"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eetMetadata" Target="metadata.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40" b="1" i="0" u="none" strike="noStrike" kern="1200" baseline="0">
              <a:solidFill>
                <a:schemeClr val="tx1">
                  <a:lumMod val="75000"/>
                  <a:lumOff val="25000"/>
                </a:schemeClr>
              </a:solidFill>
              <a:latin typeface="+mn-lt"/>
              <a:ea typeface="+mn-ea"/>
              <a:cs typeface="+mn-cs"/>
            </a:defRPr>
          </a:pPr>
        </a:p>
      </c:txPr>
    </c:title>
    <c:autoTitleDeleted val="0"/>
    <c:plotArea>
      <c:layout>
        <c:manualLayout>
          <c:layoutTarget val="inner"/>
          <c:xMode val="edge"/>
          <c:yMode val="edge"/>
          <c:x val="0.086574615804665"/>
          <c:y val="0.124429030620876"/>
          <c:w val="0.8780092050862"/>
          <c:h val="0.60559972931822"/>
        </c:manualLayout>
      </c:layout>
      <c:scatterChart>
        <c:scatterStyle val="marker"/>
        <c:varyColors val="0"/>
        <c:ser>
          <c:idx val="0"/>
          <c:order val="0"/>
          <c:tx>
            <c:strRef>
              <c:f>'temp-sale'!$B$1</c:f>
              <c:strCache>
                <c:ptCount val="1"/>
                <c:pt idx="0">
                  <c:v>Ice Cream Sale (dollar in thousand)</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trendline>
            <c:spPr>
              <a:ln w="28575" cap="rnd" cmpd="sng">
                <a:solidFill>
                  <a:srgbClr val="FF0000"/>
                </a:solidFill>
                <a:prstDash val="solid"/>
              </a:ln>
              <a:effectLst/>
            </c:spPr>
            <c:trendlineType val="linear"/>
            <c:dispRSqr val="0"/>
            <c:dispEq val="1"/>
            <c:trendlineLbl>
              <c:layout/>
              <c:spPr>
                <a:noFill/>
                <a:ln>
                  <a:noFill/>
                </a:ln>
                <a:effectLst/>
              </c:spPr>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trendlineLbl>
          </c:trendline>
          <c:xVal>
            <c:numRef>
              <c:f>'temp-sale'!$A$2:$A$9</c:f>
              <c:numCache>
                <c:formatCode>General</c:formatCode>
                <c:ptCount val="8"/>
                <c:pt idx="0">
                  <c:v>91</c:v>
                </c:pt>
                <c:pt idx="1">
                  <c:v>87</c:v>
                </c:pt>
                <c:pt idx="2">
                  <c:v>86</c:v>
                </c:pt>
                <c:pt idx="3">
                  <c:v>88</c:v>
                </c:pt>
                <c:pt idx="4">
                  <c:v>92.8</c:v>
                </c:pt>
                <c:pt idx="5">
                  <c:v>95.2</c:v>
                </c:pt>
                <c:pt idx="6">
                  <c:v>93.3</c:v>
                </c:pt>
                <c:pt idx="7">
                  <c:v>97.7</c:v>
                </c:pt>
              </c:numCache>
            </c:numRef>
          </c:xVal>
          <c:yVal>
            <c:numRef>
              <c:f>'temp-sale'!$B$2:$B$9</c:f>
              <c:numCache>
                <c:formatCode>General</c:formatCode>
                <c:ptCount val="8"/>
                <c:pt idx="0">
                  <c:v>89.8</c:v>
                </c:pt>
                <c:pt idx="1">
                  <c:v>90.2</c:v>
                </c:pt>
                <c:pt idx="2">
                  <c:v>81.1</c:v>
                </c:pt>
                <c:pt idx="3">
                  <c:v>83</c:v>
                </c:pt>
                <c:pt idx="4">
                  <c:v>90.9</c:v>
                </c:pt>
                <c:pt idx="5">
                  <c:v>119</c:v>
                </c:pt>
                <c:pt idx="6">
                  <c:v>94.9</c:v>
                </c:pt>
                <c:pt idx="7">
                  <c:v>132.4</c:v>
                </c:pt>
              </c:numCache>
            </c:numRef>
          </c:yVal>
          <c:smooth val="0"/>
        </c:ser>
        <c:dLbls>
          <c:showLegendKey val="0"/>
          <c:showVal val="0"/>
          <c:showCatName val="0"/>
          <c:showSerName val="0"/>
          <c:showPercent val="0"/>
          <c:showBubbleSize val="0"/>
        </c:dLbls>
        <c:axId val="360964755"/>
        <c:axId val="873452022"/>
      </c:scatterChart>
      <c:valAx>
        <c:axId val="360964755"/>
        <c:scaling>
          <c:orientation val="minMax"/>
        </c:scaling>
        <c:delete val="0"/>
        <c:axPos val="b"/>
        <c:title>
          <c:tx>
            <c:rich>
              <a:bodyPr rot="0" spcFirstLastPara="0" vertOverflow="ellipsis" vert="horz" wrap="square" anchor="ctr" anchorCtr="1"/>
              <a:lstStyle/>
              <a:p>
                <a:pPr defTabSz="914400">
                  <a:defRPr lang="en-US" sz="1200" b="0" i="0" u="none" strike="noStrike" kern="1200" baseline="0">
                    <a:solidFill>
                      <a:schemeClr val="tx1">
                        <a:lumMod val="65000"/>
                        <a:lumOff val="35000"/>
                      </a:schemeClr>
                    </a:solidFill>
                    <a:latin typeface="+mn-lt"/>
                    <a:ea typeface="+mn-ea"/>
                    <a:cs typeface="+mn-cs"/>
                  </a:defRPr>
                </a:pPr>
                <a:r>
                  <a:rPr sz="1200"/>
                  <a:t>Temperature(F)</a:t>
                </a:r>
                <a:endParaRPr sz="1200"/>
              </a:p>
            </c:rich>
          </c:tx>
          <c:layout>
            <c:manualLayout>
              <c:xMode val="edge"/>
              <c:yMode val="edge"/>
              <c:x val="0.449426452202939"/>
              <c:y val="0.819455292079425"/>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crossAx val="873452022"/>
        <c:crosses val="autoZero"/>
        <c:crossBetween val="midCat"/>
      </c:valAx>
      <c:valAx>
        <c:axId val="873452022"/>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200" b="0" i="0" u="none" strike="noStrike" kern="1200" baseline="0">
                    <a:solidFill>
                      <a:schemeClr val="tx1">
                        <a:lumMod val="65000"/>
                        <a:lumOff val="35000"/>
                      </a:schemeClr>
                    </a:solidFill>
                    <a:latin typeface="+mn-lt"/>
                    <a:ea typeface="+mn-ea"/>
                    <a:cs typeface="+mn-cs"/>
                  </a:defRPr>
                </a:pPr>
                <a:r>
                  <a:rPr sz="1200"/>
                  <a:t>Sales</a:t>
                </a:r>
                <a:endParaRPr sz="1200"/>
              </a:p>
            </c:rich>
          </c:tx>
          <c:layout>
            <c:manualLayout>
              <c:xMode val="edge"/>
              <c:yMode val="edge"/>
              <c:x val="0.017162025118964"/>
              <c:y val="0.427398071392319"/>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crossAx val="360964755"/>
        <c:crosses val="autoZero"/>
        <c:crossBetween val="midCat"/>
      </c:valAx>
      <c:spPr>
        <a:noFill/>
        <a:ln w="9525" cap="flat" cmpd="sng" algn="ctr">
          <a:solidFill>
            <a:schemeClr val="tx1">
              <a:lumMod val="15000"/>
              <a:lumOff val="85000"/>
            </a:schemeClr>
          </a:solidFill>
          <a:round/>
        </a:ln>
        <a:effectLst/>
      </c:spPr>
    </c:plotArea>
    <c:legend>
      <c:legendPos val="r"/>
      <c:legendEntry>
        <c:idx val="0"/>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Entry>
      <c:legendEntry>
        <c:idx val="1"/>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Entry>
      <c:layout>
        <c:manualLayout>
          <c:xMode val="edge"/>
          <c:yMode val="edge"/>
          <c:x val="0.00234027615258601"/>
          <c:y val="0.846895618338691"/>
          <c:w val="0.995319447694828"/>
          <c:h val="0.148029098291321"/>
        </c:manualLayout>
      </c:layout>
      <c:overlay val="0"/>
      <c:spPr>
        <a:noFill/>
        <a:ln>
          <a:noFill/>
        </a:ln>
        <a:effectLst/>
      </c:spPr>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724ef95-3928-494e-9c0c-1517dc2fef8e}"/>
      </c:ext>
    </c:extLst>
  </c:chart>
  <c:spPr>
    <a:solidFill>
      <a:schemeClr val="bg1"/>
    </a:solidFill>
    <a:ln w="9525" cap="flat" cmpd="sng" algn="ctr">
      <a:solidFill>
        <a:schemeClr val="tx1">
          <a:lumMod val="15000"/>
          <a:lumOff val="85000"/>
        </a:schemeClr>
      </a:solidFill>
      <a:round/>
    </a:ln>
    <a:effectLst/>
  </c:spPr>
  <c:txPr>
    <a:bodyPr/>
    <a:lstStyle/>
    <a:p>
      <a:pPr>
        <a:defRPr lang="en-US" sz="1200"/>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0</xdr:row>
      <xdr:rowOff>0</xdr:rowOff>
    </xdr:from>
    <xdr:to>
      <xdr:col>14</xdr:col>
      <xdr:colOff>47625</xdr:colOff>
      <xdr:row>6</xdr:row>
      <xdr:rowOff>38100</xdr:rowOff>
    </xdr:to>
    <xdr:sp>
      <xdr:nvSpPr>
        <xdr:cNvPr id="2" name="TextBox 1"/>
        <xdr:cNvSpPr txBox="1"/>
      </xdr:nvSpPr>
      <xdr:spPr>
        <a:xfrm>
          <a:off x="6019800" y="0"/>
          <a:ext cx="5448300"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twoCellAnchor>
    <xdr:from>
      <xdr:col>6</xdr:col>
      <xdr:colOff>15875</xdr:colOff>
      <xdr:row>7</xdr:row>
      <xdr:rowOff>2540</xdr:rowOff>
    </xdr:from>
    <xdr:to>
      <xdr:col>19</xdr:col>
      <xdr:colOff>354965</xdr:colOff>
      <xdr:row>26</xdr:row>
      <xdr:rowOff>69850</xdr:rowOff>
    </xdr:to>
    <xdr:graphicFrame>
      <xdr:nvGraphicFramePr>
        <xdr:cNvPr id="6" name="Chart 5"/>
        <xdr:cNvGraphicFramePr/>
      </xdr:nvGraphicFramePr>
      <xdr:xfrm>
        <a:off x="6635750" y="1402715"/>
        <a:ext cx="8140065" cy="37534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tabSelected="1" workbookViewId="0">
      <selection activeCell="A12" sqref="A12"/>
    </sheetView>
  </sheetViews>
  <sheetFormatPr defaultColWidth="9" defaultRowHeight="15" outlineLevelCol="3"/>
  <cols>
    <col min="1" max="1" width="16.8571428571429" customWidth="1"/>
    <col min="2" max="2" width="35.8571428571429" customWidth="1"/>
    <col min="3" max="3" width="13.5714285714286" customWidth="1"/>
    <col min="4" max="4" width="15" customWidth="1"/>
  </cols>
  <sheetData>
    <row r="1" ht="15.75" spans="1:4">
      <c r="A1" s="1" t="s">
        <v>0</v>
      </c>
      <c r="B1" s="1" t="s">
        <v>1</v>
      </c>
      <c r="C1" s="2"/>
      <c r="D1" s="2"/>
    </row>
    <row r="2" ht="15.75" spans="1:4">
      <c r="A2" s="2">
        <v>91</v>
      </c>
      <c r="B2" s="2">
        <v>89.8</v>
      </c>
      <c r="C2" s="3"/>
      <c r="D2" s="2"/>
    </row>
    <row r="3" ht="15.75" spans="1:4">
      <c r="A3" s="2">
        <v>87</v>
      </c>
      <c r="B3" s="2">
        <v>90.2</v>
      </c>
      <c r="C3" s="4" t="s">
        <v>2</v>
      </c>
      <c r="D3" s="5">
        <f>SUM(A2:A9)</f>
        <v>731</v>
      </c>
    </row>
    <row r="4" ht="15.75" spans="1:4">
      <c r="A4" s="2">
        <v>86</v>
      </c>
      <c r="B4" s="2">
        <v>81.1</v>
      </c>
      <c r="C4" s="4" t="s">
        <v>3</v>
      </c>
      <c r="D4" s="5">
        <f>SUM(B2:B10)</f>
        <v>781.3</v>
      </c>
    </row>
    <row r="5" ht="15.75" spans="1:4">
      <c r="A5" s="2">
        <v>88</v>
      </c>
      <c r="B5" s="2">
        <v>83</v>
      </c>
      <c r="C5" s="4" t="s">
        <v>4</v>
      </c>
      <c r="D5" s="5" cm="1">
        <f t="array" ref="D5">SUMPRODUCT(A:A,B:B)</f>
        <v>71851.77</v>
      </c>
    </row>
    <row r="6" ht="15.75" spans="1:4">
      <c r="A6" s="2">
        <v>92.8</v>
      </c>
      <c r="B6" s="2">
        <v>90.9</v>
      </c>
      <c r="C6" s="4" t="s">
        <v>5</v>
      </c>
      <c r="D6" s="6" cm="1">
        <f t="array" ref="D6">SUMPRODUCT(A:A,A:A)</f>
        <v>66915.06</v>
      </c>
    </row>
    <row r="7" ht="15.75" spans="1:4">
      <c r="A7" s="2">
        <v>95.2</v>
      </c>
      <c r="B7" s="2">
        <v>119</v>
      </c>
      <c r="C7" s="4" t="s">
        <v>6</v>
      </c>
      <c r="D7" s="6">
        <f>COUNT(A2:A9)</f>
        <v>8</v>
      </c>
    </row>
    <row r="8" ht="15.75" spans="1:4">
      <c r="A8" s="2">
        <v>93.3</v>
      </c>
      <c r="B8" s="2">
        <v>94.9</v>
      </c>
      <c r="C8" s="3" t="s">
        <v>7</v>
      </c>
      <c r="D8" s="2">
        <f>(D7*D5-D3*D4)/(D7*D6-D3^2)</f>
        <v>3.83943386000768</v>
      </c>
    </row>
    <row r="9" ht="15.75" spans="1:4">
      <c r="A9" s="2">
        <v>97.7</v>
      </c>
      <c r="B9" s="2">
        <v>132.4</v>
      </c>
      <c r="C9" s="3" t="s">
        <v>8</v>
      </c>
      <c r="D9" s="2">
        <f>(D6*D4-D3*D5)/(D7*D6-D3^2)</f>
        <v>-253.165768958197</v>
      </c>
    </row>
    <row r="10" ht="15.75" spans="1:4">
      <c r="A10" s="2"/>
      <c r="B10" s="2"/>
      <c r="C10" s="2"/>
      <c r="D10" s="2"/>
    </row>
    <row r="11" ht="15.75" spans="1:4">
      <c r="A11" s="2"/>
      <c r="B11" s="2"/>
      <c r="C11" s="3" t="s">
        <v>9</v>
      </c>
      <c r="D11" s="1" t="s">
        <v>10</v>
      </c>
    </row>
    <row r="12" ht="15.75" spans="1:4">
      <c r="A12" s="2"/>
      <c r="B12" s="2"/>
      <c r="C12" s="2">
        <v>88.8</v>
      </c>
      <c r="D12" s="7">
        <f>D$8*C12+D$9</f>
        <v>87.7759578104854</v>
      </c>
    </row>
    <row r="13" ht="15.75" spans="1:4">
      <c r="A13" s="2"/>
      <c r="B13" s="2"/>
      <c r="C13" s="2">
        <v>96.9</v>
      </c>
      <c r="D13" s="7">
        <f t="shared" ref="D12:D14" si="0">D$8*C13+D$9</f>
        <v>118.875372076548</v>
      </c>
    </row>
    <row r="14" ht="15.75" spans="1:4">
      <c r="A14" s="2"/>
      <c r="B14" s="2"/>
      <c r="C14" s="2">
        <v>94.7</v>
      </c>
      <c r="D14" s="7">
        <f t="shared" si="0"/>
        <v>110.428617584531</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temp-sale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Hoàng Sói</cp:lastModifiedBy>
  <dcterms:created xsi:type="dcterms:W3CDTF">2015-06-05T18:17:00Z</dcterms:created>
  <dcterms:modified xsi:type="dcterms:W3CDTF">2025-11-24T11:16:29Z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91064AD15A354C2B8D98E5F220779EE2_12</vt:lpwstr>
  </property>
  <property fmtid="{D5CDD505-2E9C-101B-9397-08002B2CF9AE}" pid="3" name="KSOProductBuildVer">
    <vt:lpwstr>1033-12.2.0.23155</vt:lpwstr>
  </property>
</Properties>
</file>